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90" yWindow="1670" windowWidth="17600" windowHeight="5620"/>
  </bookViews>
  <sheets>
    <sheet name="Sales_Data" sheetId="1" r:id="rId1"/>
    <sheet name="Instructions" sheetId="2" r:id="rId2"/>
    <sheet name="Report" sheetId="3" r:id="rId3"/>
    <sheet name="Sheet1" sheetId="4" r:id="rId4"/>
    <sheet name="Sheet2" sheetId="5" r:id="rId5"/>
    <sheet name="Sheet3" sheetId="6" r:id="rId6"/>
    <sheet name="Sheet4" sheetId="7" r:id="rId7"/>
    <sheet name="Sheet5" sheetId="8" r:id="rId8"/>
  </sheets>
  <calcPr calcId="125725"/>
</workbook>
</file>

<file path=xl/calcChain.xml><?xml version="1.0" encoding="utf-8"?>
<calcChain xmlns="http://schemas.openxmlformats.org/spreadsheetml/2006/main">
  <c r="B8" i="3"/>
  <c r="B10"/>
  <c r="S45" i="1"/>
  <c r="B9" i="3"/>
  <c r="P7" i="1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6"/>
  <c r="S44" i="8"/>
  <c r="R44"/>
  <c r="T44" s="1"/>
  <c r="Q44"/>
  <c r="P44"/>
  <c r="O44"/>
  <c r="S43"/>
  <c r="R43"/>
  <c r="T43" s="1"/>
  <c r="Q43"/>
  <c r="U44" s="1"/>
  <c r="P43"/>
  <c r="O43"/>
  <c r="S42"/>
  <c r="R42"/>
  <c r="T42" s="1"/>
  <c r="Q42"/>
  <c r="U43" s="1"/>
  <c r="P42"/>
  <c r="O42"/>
  <c r="S34"/>
  <c r="O34"/>
  <c r="N34"/>
  <c r="M34"/>
  <c r="Q34" s="1"/>
  <c r="U42" s="1"/>
  <c r="S9"/>
  <c r="O9"/>
  <c r="N9"/>
  <c r="M9"/>
  <c r="P9" s="1"/>
  <c r="S3"/>
  <c r="O3"/>
  <c r="N3"/>
  <c r="M3"/>
  <c r="Q3" s="1"/>
  <c r="S32"/>
  <c r="O32"/>
  <c r="N32"/>
  <c r="M32"/>
  <c r="R32" s="1"/>
  <c r="T32" s="1"/>
  <c r="S14"/>
  <c r="O14"/>
  <c r="N14"/>
  <c r="M14"/>
  <c r="Q14" s="1"/>
  <c r="S31"/>
  <c r="O31"/>
  <c r="N31"/>
  <c r="M31"/>
  <c r="P31" s="1"/>
  <c r="S6"/>
  <c r="O6"/>
  <c r="N6"/>
  <c r="M6"/>
  <c r="Q6" s="1"/>
  <c r="S37"/>
  <c r="O37"/>
  <c r="N37"/>
  <c r="M37"/>
  <c r="R37" s="1"/>
  <c r="T37" s="1"/>
  <c r="S39"/>
  <c r="O39"/>
  <c r="N39"/>
  <c r="M39"/>
  <c r="Q39" s="1"/>
  <c r="S11"/>
  <c r="O11"/>
  <c r="N11"/>
  <c r="M11"/>
  <c r="P11" s="1"/>
  <c r="S22"/>
  <c r="O22"/>
  <c r="N22"/>
  <c r="M22"/>
  <c r="Q22" s="1"/>
  <c r="S12"/>
  <c r="O12"/>
  <c r="N12"/>
  <c r="M12"/>
  <c r="R12" s="1"/>
  <c r="T12" s="1"/>
  <c r="S29"/>
  <c r="O29"/>
  <c r="N29"/>
  <c r="M29"/>
  <c r="Q29" s="1"/>
  <c r="S7"/>
  <c r="O7"/>
  <c r="N7"/>
  <c r="M7"/>
  <c r="P7" s="1"/>
  <c r="S26"/>
  <c r="O26"/>
  <c r="N26"/>
  <c r="M26"/>
  <c r="Q26" s="1"/>
  <c r="S36"/>
  <c r="O36"/>
  <c r="N36"/>
  <c r="M36"/>
  <c r="R36" s="1"/>
  <c r="T36" s="1"/>
  <c r="S19"/>
  <c r="O19"/>
  <c r="N19"/>
  <c r="M19"/>
  <c r="Q19" s="1"/>
  <c r="S10"/>
  <c r="O10"/>
  <c r="N10"/>
  <c r="M10"/>
  <c r="P10" s="1"/>
  <c r="S16"/>
  <c r="O16"/>
  <c r="N16"/>
  <c r="M16"/>
  <c r="Q16" s="1"/>
  <c r="S18"/>
  <c r="O18"/>
  <c r="N18"/>
  <c r="M18"/>
  <c r="R18" s="1"/>
  <c r="T18" s="1"/>
  <c r="S27"/>
  <c r="O27"/>
  <c r="N27"/>
  <c r="M27"/>
  <c r="Q27" s="1"/>
  <c r="S2"/>
  <c r="O2"/>
  <c r="N2"/>
  <c r="M2"/>
  <c r="P2" s="1"/>
  <c r="S35"/>
  <c r="O35"/>
  <c r="N35"/>
  <c r="M35"/>
  <c r="Q35" s="1"/>
  <c r="U2" s="1"/>
  <c r="S8"/>
  <c r="O8"/>
  <c r="N8"/>
  <c r="M8"/>
  <c r="R8" s="1"/>
  <c r="T8" s="1"/>
  <c r="S25"/>
  <c r="O25"/>
  <c r="N25"/>
  <c r="M25"/>
  <c r="Q25" s="1"/>
  <c r="S38"/>
  <c r="O38"/>
  <c r="N38"/>
  <c r="M38"/>
  <c r="Q38" s="1"/>
  <c r="S33"/>
  <c r="O33"/>
  <c r="N33"/>
  <c r="M33"/>
  <c r="R33" s="1"/>
  <c r="T33" s="1"/>
  <c r="S5"/>
  <c r="O5"/>
  <c r="N5"/>
  <c r="M5"/>
  <c r="Q5" s="1"/>
  <c r="S20"/>
  <c r="O20"/>
  <c r="N20"/>
  <c r="M20"/>
  <c r="P20" s="1"/>
  <c r="S40"/>
  <c r="O40"/>
  <c r="N40"/>
  <c r="M40"/>
  <c r="Q40" s="1"/>
  <c r="S15"/>
  <c r="O15"/>
  <c r="N15"/>
  <c r="M15"/>
  <c r="R15" s="1"/>
  <c r="T15" s="1"/>
  <c r="S13"/>
  <c r="O13"/>
  <c r="N13"/>
  <c r="M13"/>
  <c r="Q13" s="1"/>
  <c r="S23"/>
  <c r="O23"/>
  <c r="N23"/>
  <c r="M23"/>
  <c r="P23" s="1"/>
  <c r="S28"/>
  <c r="O28"/>
  <c r="N28"/>
  <c r="M28"/>
  <c r="Q28" s="1"/>
  <c r="S17"/>
  <c r="O17"/>
  <c r="N17"/>
  <c r="M17"/>
  <c r="R17" s="1"/>
  <c r="T17" s="1"/>
  <c r="S21"/>
  <c r="O21"/>
  <c r="N21"/>
  <c r="M21"/>
  <c r="Q21" s="1"/>
  <c r="S24"/>
  <c r="O24"/>
  <c r="N24"/>
  <c r="M24"/>
  <c r="P24" s="1"/>
  <c r="S30"/>
  <c r="O30"/>
  <c r="N30"/>
  <c r="M30"/>
  <c r="Q30" s="1"/>
  <c r="S4"/>
  <c r="O4"/>
  <c r="N4"/>
  <c r="M4"/>
  <c r="R4" s="1"/>
  <c r="T4" s="1"/>
  <c r="S45" i="6"/>
  <c r="R45"/>
  <c r="T45" s="1"/>
  <c r="Q45"/>
  <c r="P45"/>
  <c r="O45"/>
  <c r="S44"/>
  <c r="R44"/>
  <c r="T44" s="1"/>
  <c r="Q44"/>
  <c r="U45" s="1"/>
  <c r="P44"/>
  <c r="O44"/>
  <c r="S43"/>
  <c r="R43"/>
  <c r="T43" s="1"/>
  <c r="Q43"/>
  <c r="U44" s="1"/>
  <c r="P43"/>
  <c r="O43"/>
  <c r="S42"/>
  <c r="O42"/>
  <c r="N42"/>
  <c r="M42"/>
  <c r="P42" s="1"/>
  <c r="S41"/>
  <c r="O41"/>
  <c r="N41"/>
  <c r="M41"/>
  <c r="P41" s="1"/>
  <c r="S40"/>
  <c r="R40"/>
  <c r="T40" s="1"/>
  <c r="O40"/>
  <c r="N40"/>
  <c r="M40"/>
  <c r="Q40" s="1"/>
  <c r="U41" s="1"/>
  <c r="S39"/>
  <c r="P39"/>
  <c r="O39"/>
  <c r="N39"/>
  <c r="M39"/>
  <c r="R39" s="1"/>
  <c r="T39" s="1"/>
  <c r="S38"/>
  <c r="P38"/>
  <c r="O38"/>
  <c r="N38"/>
  <c r="M38"/>
  <c r="Q38" s="1"/>
  <c r="U39" s="1"/>
  <c r="S37"/>
  <c r="O37"/>
  <c r="N37"/>
  <c r="M37"/>
  <c r="P37" s="1"/>
  <c r="S36"/>
  <c r="R36"/>
  <c r="T36" s="1"/>
  <c r="O36"/>
  <c r="N36"/>
  <c r="M36"/>
  <c r="Q36" s="1"/>
  <c r="U37" s="1"/>
  <c r="S35"/>
  <c r="P35"/>
  <c r="O35"/>
  <c r="N35"/>
  <c r="M35"/>
  <c r="R35" s="1"/>
  <c r="T35" s="1"/>
  <c r="S34"/>
  <c r="P34"/>
  <c r="O34"/>
  <c r="N34"/>
  <c r="M34"/>
  <c r="Q34" s="1"/>
  <c r="U35" s="1"/>
  <c r="S33"/>
  <c r="O33"/>
  <c r="N33"/>
  <c r="M33"/>
  <c r="P33" s="1"/>
  <c r="S32"/>
  <c r="R32"/>
  <c r="T32" s="1"/>
  <c r="O32"/>
  <c r="N32"/>
  <c r="M32"/>
  <c r="Q32" s="1"/>
  <c r="U33" s="1"/>
  <c r="S31"/>
  <c r="P31"/>
  <c r="O31"/>
  <c r="N31"/>
  <c r="M31"/>
  <c r="R31" s="1"/>
  <c r="T31" s="1"/>
  <c r="S30"/>
  <c r="P30"/>
  <c r="O30"/>
  <c r="N30"/>
  <c r="M30"/>
  <c r="Q30" s="1"/>
  <c r="U31" s="1"/>
  <c r="S29"/>
  <c r="O29"/>
  <c r="N29"/>
  <c r="M29"/>
  <c r="P29" s="1"/>
  <c r="S28"/>
  <c r="R28"/>
  <c r="T28" s="1"/>
  <c r="O28"/>
  <c r="N28"/>
  <c r="M28"/>
  <c r="Q28" s="1"/>
  <c r="U29" s="1"/>
  <c r="S27"/>
  <c r="P27"/>
  <c r="O27"/>
  <c r="N27"/>
  <c r="M27"/>
  <c r="R27" s="1"/>
  <c r="T27" s="1"/>
  <c r="S26"/>
  <c r="P26"/>
  <c r="O26"/>
  <c r="N26"/>
  <c r="M26"/>
  <c r="Q26" s="1"/>
  <c r="U27" s="1"/>
  <c r="S25"/>
  <c r="O25"/>
  <c r="N25"/>
  <c r="M25"/>
  <c r="P25" s="1"/>
  <c r="S24"/>
  <c r="R24"/>
  <c r="T24" s="1"/>
  <c r="O24"/>
  <c r="N24"/>
  <c r="M24"/>
  <c r="Q24" s="1"/>
  <c r="U25" s="1"/>
  <c r="S23"/>
  <c r="P23"/>
  <c r="O23"/>
  <c r="N23"/>
  <c r="M23"/>
  <c r="R23" s="1"/>
  <c r="T23" s="1"/>
  <c r="S22"/>
  <c r="P22"/>
  <c r="O22"/>
  <c r="N22"/>
  <c r="M22"/>
  <c r="Q22" s="1"/>
  <c r="U23" s="1"/>
  <c r="S21"/>
  <c r="O21"/>
  <c r="N21"/>
  <c r="M21"/>
  <c r="P21" s="1"/>
  <c r="S20"/>
  <c r="R20"/>
  <c r="T20" s="1"/>
  <c r="O20"/>
  <c r="N20"/>
  <c r="M20"/>
  <c r="Q20" s="1"/>
  <c r="U21" s="1"/>
  <c r="S19"/>
  <c r="P19"/>
  <c r="O19"/>
  <c r="N19"/>
  <c r="M19"/>
  <c r="R19" s="1"/>
  <c r="T19" s="1"/>
  <c r="S18"/>
  <c r="P18"/>
  <c r="O18"/>
  <c r="N18"/>
  <c r="M18"/>
  <c r="Q18" s="1"/>
  <c r="U19" s="1"/>
  <c r="S17"/>
  <c r="O17"/>
  <c r="N17"/>
  <c r="M17"/>
  <c r="P17" s="1"/>
  <c r="S16"/>
  <c r="R16"/>
  <c r="T16" s="1"/>
  <c r="O16"/>
  <c r="N16"/>
  <c r="M16"/>
  <c r="Q16" s="1"/>
  <c r="U17" s="1"/>
  <c r="S15"/>
  <c r="P15"/>
  <c r="O15"/>
  <c r="N15"/>
  <c r="M15"/>
  <c r="R15" s="1"/>
  <c r="T15" s="1"/>
  <c r="S14"/>
  <c r="P14"/>
  <c r="O14"/>
  <c r="N14"/>
  <c r="M14"/>
  <c r="Q14" s="1"/>
  <c r="U15" s="1"/>
  <c r="S13"/>
  <c r="O13"/>
  <c r="N13"/>
  <c r="M13"/>
  <c r="P13" s="1"/>
  <c r="S12"/>
  <c r="R12"/>
  <c r="T12" s="1"/>
  <c r="O12"/>
  <c r="N12"/>
  <c r="M12"/>
  <c r="Q12" s="1"/>
  <c r="U13" s="1"/>
  <c r="S11"/>
  <c r="P11"/>
  <c r="O11"/>
  <c r="N11"/>
  <c r="M11"/>
  <c r="R11" s="1"/>
  <c r="T11" s="1"/>
  <c r="S10"/>
  <c r="P10"/>
  <c r="O10"/>
  <c r="N10"/>
  <c r="M10"/>
  <c r="Q10" s="1"/>
  <c r="U11" s="1"/>
  <c r="S9"/>
  <c r="O9"/>
  <c r="N9"/>
  <c r="M9"/>
  <c r="P9" s="1"/>
  <c r="S8"/>
  <c r="R8"/>
  <c r="T8" s="1"/>
  <c r="O8"/>
  <c r="N8"/>
  <c r="M8"/>
  <c r="Q8" s="1"/>
  <c r="U9" s="1"/>
  <c r="S7"/>
  <c r="P7"/>
  <c r="O7"/>
  <c r="N7"/>
  <c r="M7"/>
  <c r="R7" s="1"/>
  <c r="T7" s="1"/>
  <c r="S6"/>
  <c r="P6"/>
  <c r="O6"/>
  <c r="N6"/>
  <c r="M6"/>
  <c r="Q6" s="1"/>
  <c r="U7" s="1"/>
  <c r="S5"/>
  <c r="O5"/>
  <c r="N5"/>
  <c r="M5"/>
  <c r="P5" s="1"/>
  <c r="S4"/>
  <c r="R4"/>
  <c r="T4" s="1"/>
  <c r="O4"/>
  <c r="N4"/>
  <c r="M4"/>
  <c r="Q4" s="1"/>
  <c r="U5" s="1"/>
  <c r="U3"/>
  <c r="S3"/>
  <c r="P3"/>
  <c r="O3"/>
  <c r="N3"/>
  <c r="M3"/>
  <c r="R3" s="1"/>
  <c r="T3" s="1"/>
  <c r="S45" i="5"/>
  <c r="R45"/>
  <c r="T45" s="1"/>
  <c r="Q45"/>
  <c r="P45"/>
  <c r="O45"/>
  <c r="S44"/>
  <c r="R44"/>
  <c r="T44" s="1"/>
  <c r="Q44"/>
  <c r="U45" s="1"/>
  <c r="P44"/>
  <c r="O44"/>
  <c r="T43"/>
  <c r="S43"/>
  <c r="R43"/>
  <c r="Q43"/>
  <c r="U44" s="1"/>
  <c r="P43"/>
  <c r="O43"/>
  <c r="S42"/>
  <c r="P42"/>
  <c r="O42"/>
  <c r="N42"/>
  <c r="M42"/>
  <c r="Q42" s="1"/>
  <c r="U43" s="1"/>
  <c r="S41"/>
  <c r="O41"/>
  <c r="N41"/>
  <c r="M41"/>
  <c r="P41" s="1"/>
  <c r="S40"/>
  <c r="R40"/>
  <c r="T40" s="1"/>
  <c r="O40"/>
  <c r="N40"/>
  <c r="M40"/>
  <c r="Q40" s="1"/>
  <c r="U41" s="1"/>
  <c r="S39"/>
  <c r="R39"/>
  <c r="T39" s="1"/>
  <c r="P39"/>
  <c r="O39"/>
  <c r="N39"/>
  <c r="M39"/>
  <c r="Q39" s="1"/>
  <c r="U40" s="1"/>
  <c r="S38"/>
  <c r="P38"/>
  <c r="O38"/>
  <c r="N38"/>
  <c r="M38"/>
  <c r="Q38" s="1"/>
  <c r="U39" s="1"/>
  <c r="S37"/>
  <c r="O37"/>
  <c r="N37"/>
  <c r="M37"/>
  <c r="P37" s="1"/>
  <c r="S36"/>
  <c r="R36"/>
  <c r="T36" s="1"/>
  <c r="O36"/>
  <c r="N36"/>
  <c r="M36"/>
  <c r="Q36" s="1"/>
  <c r="U37" s="1"/>
  <c r="S35"/>
  <c r="R35"/>
  <c r="T35" s="1"/>
  <c r="O35"/>
  <c r="N35"/>
  <c r="M35"/>
  <c r="P35" s="1"/>
  <c r="T34"/>
  <c r="S34"/>
  <c r="R34"/>
  <c r="P34"/>
  <c r="O34"/>
  <c r="N34"/>
  <c r="M34"/>
  <c r="Q34" s="1"/>
  <c r="U35" s="1"/>
  <c r="S33"/>
  <c r="O33"/>
  <c r="N33"/>
  <c r="M33"/>
  <c r="P33" s="1"/>
  <c r="S32"/>
  <c r="R32"/>
  <c r="T32" s="1"/>
  <c r="O32"/>
  <c r="N32"/>
  <c r="M32"/>
  <c r="Q32" s="1"/>
  <c r="U33" s="1"/>
  <c r="S31"/>
  <c r="R31"/>
  <c r="T31" s="1"/>
  <c r="O31"/>
  <c r="N31"/>
  <c r="M31"/>
  <c r="P31" s="1"/>
  <c r="T30"/>
  <c r="S30"/>
  <c r="R30"/>
  <c r="P30"/>
  <c r="O30"/>
  <c r="N30"/>
  <c r="M30"/>
  <c r="Q30" s="1"/>
  <c r="U31" s="1"/>
  <c r="S29"/>
  <c r="O29"/>
  <c r="N29"/>
  <c r="M29"/>
  <c r="P29" s="1"/>
  <c r="S28"/>
  <c r="R28"/>
  <c r="T28" s="1"/>
  <c r="O28"/>
  <c r="N28"/>
  <c r="M28"/>
  <c r="Q28" s="1"/>
  <c r="U29" s="1"/>
  <c r="S27"/>
  <c r="R27"/>
  <c r="T27" s="1"/>
  <c r="O27"/>
  <c r="N27"/>
  <c r="M27"/>
  <c r="P27" s="1"/>
  <c r="T26"/>
  <c r="S26"/>
  <c r="R26"/>
  <c r="P26"/>
  <c r="O26"/>
  <c r="N26"/>
  <c r="M26"/>
  <c r="Q26" s="1"/>
  <c r="U27" s="1"/>
  <c r="S25"/>
  <c r="Q25"/>
  <c r="U26" s="1"/>
  <c r="O25"/>
  <c r="N25"/>
  <c r="M25"/>
  <c r="P25" s="1"/>
  <c r="S24"/>
  <c r="R24"/>
  <c r="T24" s="1"/>
  <c r="O24"/>
  <c r="N24"/>
  <c r="M24"/>
  <c r="Q24" s="1"/>
  <c r="U25" s="1"/>
  <c r="S23"/>
  <c r="R23"/>
  <c r="T23" s="1"/>
  <c r="O23"/>
  <c r="N23"/>
  <c r="M23"/>
  <c r="P23" s="1"/>
  <c r="T22"/>
  <c r="S22"/>
  <c r="R22"/>
  <c r="P22"/>
  <c r="O22"/>
  <c r="N22"/>
  <c r="M22"/>
  <c r="Q22" s="1"/>
  <c r="U23" s="1"/>
  <c r="S21"/>
  <c r="O21"/>
  <c r="N21"/>
  <c r="M21"/>
  <c r="P21" s="1"/>
  <c r="S20"/>
  <c r="R20"/>
  <c r="T20" s="1"/>
  <c r="O20"/>
  <c r="N20"/>
  <c r="M20"/>
  <c r="Q20" s="1"/>
  <c r="U21" s="1"/>
  <c r="S19"/>
  <c r="R19"/>
  <c r="T19" s="1"/>
  <c r="O19"/>
  <c r="N19"/>
  <c r="M19"/>
  <c r="P19" s="1"/>
  <c r="T18"/>
  <c r="S18"/>
  <c r="R18"/>
  <c r="P18"/>
  <c r="O18"/>
  <c r="N18"/>
  <c r="M18"/>
  <c r="Q18" s="1"/>
  <c r="U19" s="1"/>
  <c r="S17"/>
  <c r="O17"/>
  <c r="N17"/>
  <c r="M17"/>
  <c r="P17" s="1"/>
  <c r="S16"/>
  <c r="R16"/>
  <c r="T16" s="1"/>
  <c r="O16"/>
  <c r="N16"/>
  <c r="M16"/>
  <c r="Q16" s="1"/>
  <c r="U17" s="1"/>
  <c r="S15"/>
  <c r="R15"/>
  <c r="T15" s="1"/>
  <c r="O15"/>
  <c r="N15"/>
  <c r="M15"/>
  <c r="P15" s="1"/>
  <c r="T14"/>
  <c r="S14"/>
  <c r="R14"/>
  <c r="P14"/>
  <c r="O14"/>
  <c r="N14"/>
  <c r="M14"/>
  <c r="Q14" s="1"/>
  <c r="U15" s="1"/>
  <c r="S13"/>
  <c r="O13"/>
  <c r="N13"/>
  <c r="M13"/>
  <c r="P13" s="1"/>
  <c r="S12"/>
  <c r="R12"/>
  <c r="T12" s="1"/>
  <c r="O12"/>
  <c r="N12"/>
  <c r="M12"/>
  <c r="Q12" s="1"/>
  <c r="U13" s="1"/>
  <c r="S11"/>
  <c r="R11"/>
  <c r="T11" s="1"/>
  <c r="O11"/>
  <c r="N11"/>
  <c r="M11"/>
  <c r="P11" s="1"/>
  <c r="T10"/>
  <c r="S10"/>
  <c r="R10"/>
  <c r="P10"/>
  <c r="O10"/>
  <c r="N10"/>
  <c r="M10"/>
  <c r="Q10" s="1"/>
  <c r="U11" s="1"/>
  <c r="S9"/>
  <c r="O9"/>
  <c r="N9"/>
  <c r="M9"/>
  <c r="P9" s="1"/>
  <c r="S8"/>
  <c r="R8"/>
  <c r="T8" s="1"/>
  <c r="O8"/>
  <c r="N8"/>
  <c r="M8"/>
  <c r="Q8" s="1"/>
  <c r="U9" s="1"/>
  <c r="S7"/>
  <c r="R7"/>
  <c r="T7" s="1"/>
  <c r="O7"/>
  <c r="N7"/>
  <c r="M7"/>
  <c r="P7" s="1"/>
  <c r="T6"/>
  <c r="S6"/>
  <c r="R6"/>
  <c r="P6"/>
  <c r="O6"/>
  <c r="N6"/>
  <c r="M6"/>
  <c r="Q6" s="1"/>
  <c r="U7" s="1"/>
  <c r="S5"/>
  <c r="O5"/>
  <c r="N5"/>
  <c r="M5"/>
  <c r="P5" s="1"/>
  <c r="S4"/>
  <c r="R4"/>
  <c r="T4" s="1"/>
  <c r="O4"/>
  <c r="N4"/>
  <c r="M4"/>
  <c r="Q4" s="1"/>
  <c r="U5" s="1"/>
  <c r="U3"/>
  <c r="S3"/>
  <c r="R3"/>
  <c r="T3" s="1"/>
  <c r="O3"/>
  <c r="N3"/>
  <c r="M3"/>
  <c r="P3" s="1"/>
  <c r="M6" i="1"/>
  <c r="U6"/>
  <c r="S37"/>
  <c r="S19"/>
  <c r="S38"/>
  <c r="S30"/>
  <c r="S23"/>
  <c r="S18"/>
  <c r="S42"/>
  <c r="S40"/>
  <c r="S7"/>
  <c r="S33"/>
  <c r="S11"/>
  <c r="S25"/>
  <c r="S31"/>
  <c r="S21"/>
  <c r="S8"/>
  <c r="S12"/>
  <c r="S35"/>
  <c r="S9"/>
  <c r="S16"/>
  <c r="S29"/>
  <c r="S26"/>
  <c r="S10"/>
  <c r="S27"/>
  <c r="S14"/>
  <c r="S41"/>
  <c r="S13"/>
  <c r="S34"/>
  <c r="S36"/>
  <c r="S28"/>
  <c r="S44"/>
  <c r="S22"/>
  <c r="S32"/>
  <c r="S39"/>
  <c r="S17"/>
  <c r="S6"/>
  <c r="S43"/>
  <c r="S24"/>
  <c r="S15"/>
  <c r="S20"/>
  <c r="R46"/>
  <c r="T46" s="1"/>
  <c r="R47"/>
  <c r="T47" s="1"/>
  <c r="R48"/>
  <c r="T48" s="1"/>
  <c r="Q46"/>
  <c r="U47" s="1"/>
  <c r="Q47"/>
  <c r="U48" s="1"/>
  <c r="Q48"/>
  <c r="O15"/>
  <c r="O37"/>
  <c r="O19"/>
  <c r="O38"/>
  <c r="O30"/>
  <c r="O23"/>
  <c r="O45"/>
  <c r="O18"/>
  <c r="O42"/>
  <c r="O40"/>
  <c r="O7"/>
  <c r="O33"/>
  <c r="O11"/>
  <c r="O25"/>
  <c r="O31"/>
  <c r="O21"/>
  <c r="O8"/>
  <c r="O12"/>
  <c r="O35"/>
  <c r="O9"/>
  <c r="O16"/>
  <c r="O29"/>
  <c r="O26"/>
  <c r="O10"/>
  <c r="O27"/>
  <c r="O14"/>
  <c r="O41"/>
  <c r="O13"/>
  <c r="O34"/>
  <c r="O36"/>
  <c r="O28"/>
  <c r="O44"/>
  <c r="O22"/>
  <c r="O32"/>
  <c r="O39"/>
  <c r="O17"/>
  <c r="O6"/>
  <c r="O43"/>
  <c r="O46"/>
  <c r="O47"/>
  <c r="O48"/>
  <c r="O24"/>
  <c r="O20"/>
  <c r="N15"/>
  <c r="N37"/>
  <c r="N19"/>
  <c r="N38"/>
  <c r="N30"/>
  <c r="N23"/>
  <c r="N45"/>
  <c r="N18"/>
  <c r="N42"/>
  <c r="N40"/>
  <c r="N7"/>
  <c r="N33"/>
  <c r="N11"/>
  <c r="N25"/>
  <c r="N31"/>
  <c r="N21"/>
  <c r="N8"/>
  <c r="N12"/>
  <c r="N35"/>
  <c r="N9"/>
  <c r="N16"/>
  <c r="N29"/>
  <c r="N26"/>
  <c r="N10"/>
  <c r="N27"/>
  <c r="N14"/>
  <c r="N41"/>
  <c r="N13"/>
  <c r="N34"/>
  <c r="N36"/>
  <c r="N28"/>
  <c r="N44"/>
  <c r="N22"/>
  <c r="N32"/>
  <c r="N39"/>
  <c r="N17"/>
  <c r="N6"/>
  <c r="N43"/>
  <c r="N24"/>
  <c r="N20"/>
  <c r="M42"/>
  <c r="M36"/>
  <c r="M11"/>
  <c r="M28"/>
  <c r="M26"/>
  <c r="M8"/>
  <c r="M43"/>
  <c r="M33"/>
  <c r="M39"/>
  <c r="M22"/>
  <c r="M15"/>
  <c r="M14"/>
  <c r="M30"/>
  <c r="M12"/>
  <c r="M10"/>
  <c r="M31"/>
  <c r="M37"/>
  <c r="M23"/>
  <c r="M13"/>
  <c r="M19"/>
  <c r="M40"/>
  <c r="M29"/>
  <c r="R29" s="1"/>
  <c r="T29" s="1"/>
  <c r="M35"/>
  <c r="M38"/>
  <c r="M9"/>
  <c r="M18"/>
  <c r="M32"/>
  <c r="M45"/>
  <c r="M41"/>
  <c r="M34"/>
  <c r="M16"/>
  <c r="R28" s="1"/>
  <c r="T28" s="1"/>
  <c r="M21"/>
  <c r="M27"/>
  <c r="M44"/>
  <c r="R39" s="1"/>
  <c r="T39" s="1"/>
  <c r="M7"/>
  <c r="M20"/>
  <c r="M17"/>
  <c r="M24"/>
  <c r="R24" s="1"/>
  <c r="T24" s="1"/>
  <c r="M25"/>
  <c r="P19" i="8" l="1"/>
  <c r="P13"/>
  <c r="P34"/>
  <c r="P25"/>
  <c r="P28"/>
  <c r="P16"/>
  <c r="P3"/>
  <c r="P39"/>
  <c r="U15"/>
  <c r="P38"/>
  <c r="P22"/>
  <c r="R21"/>
  <c r="T21" s="1"/>
  <c r="U20"/>
  <c r="R40"/>
  <c r="T40" s="1"/>
  <c r="P21"/>
  <c r="R28"/>
  <c r="T28" s="1"/>
  <c r="P40"/>
  <c r="R25"/>
  <c r="T25" s="1"/>
  <c r="P27"/>
  <c r="R16"/>
  <c r="T16" s="1"/>
  <c r="P26"/>
  <c r="R39"/>
  <c r="T39" s="1"/>
  <c r="P14"/>
  <c r="R3"/>
  <c r="T3" s="1"/>
  <c r="R30"/>
  <c r="T30" s="1"/>
  <c r="R5"/>
  <c r="T5" s="1"/>
  <c r="R35"/>
  <c r="T35" s="1"/>
  <c r="R29"/>
  <c r="T29" s="1"/>
  <c r="R6"/>
  <c r="T6" s="1"/>
  <c r="U4"/>
  <c r="P30"/>
  <c r="R13"/>
  <c r="T13" s="1"/>
  <c r="P5"/>
  <c r="R38"/>
  <c r="T38" s="1"/>
  <c r="P35"/>
  <c r="U36"/>
  <c r="R19"/>
  <c r="P29"/>
  <c r="R22"/>
  <c r="T22" s="1"/>
  <c r="P6"/>
  <c r="R34"/>
  <c r="T34" s="1"/>
  <c r="R27"/>
  <c r="T27" s="1"/>
  <c r="R26"/>
  <c r="T26" s="1"/>
  <c r="R14"/>
  <c r="T14" s="1"/>
  <c r="Q10"/>
  <c r="Q11"/>
  <c r="U39" s="1"/>
  <c r="Q31"/>
  <c r="Q9"/>
  <c r="Q4"/>
  <c r="Q17"/>
  <c r="U28" s="1"/>
  <c r="Q15"/>
  <c r="Q33"/>
  <c r="Q8"/>
  <c r="Q18"/>
  <c r="U17" s="1"/>
  <c r="Q36"/>
  <c r="U26" s="1"/>
  <c r="Q12"/>
  <c r="Q37"/>
  <c r="Q32"/>
  <c r="U33" s="1"/>
  <c r="Q20"/>
  <c r="U5" s="1"/>
  <c r="Q7"/>
  <c r="U29" s="1"/>
  <c r="P4"/>
  <c r="R24"/>
  <c r="T24" s="1"/>
  <c r="P17"/>
  <c r="R23"/>
  <c r="T23" s="1"/>
  <c r="P15"/>
  <c r="R20"/>
  <c r="T20" s="1"/>
  <c r="P33"/>
  <c r="P8"/>
  <c r="R2"/>
  <c r="T2" s="1"/>
  <c r="P18"/>
  <c r="R10"/>
  <c r="T10" s="1"/>
  <c r="P36"/>
  <c r="R7"/>
  <c r="T7" s="1"/>
  <c r="P12"/>
  <c r="R11"/>
  <c r="T11" s="1"/>
  <c r="P37"/>
  <c r="R31"/>
  <c r="T31" s="1"/>
  <c r="P32"/>
  <c r="R9"/>
  <c r="T9" s="1"/>
  <c r="Q24"/>
  <c r="Q23"/>
  <c r="Q2"/>
  <c r="U27" s="1"/>
  <c r="Q3" i="6"/>
  <c r="U4" s="1"/>
  <c r="P4"/>
  <c r="R6"/>
  <c r="T6" s="1"/>
  <c r="Q7"/>
  <c r="U8" s="1"/>
  <c r="P8"/>
  <c r="R10"/>
  <c r="T10" s="1"/>
  <c r="Q11"/>
  <c r="U12" s="1"/>
  <c r="P12"/>
  <c r="R14"/>
  <c r="T14" s="1"/>
  <c r="Q15"/>
  <c r="U16" s="1"/>
  <c r="P16"/>
  <c r="R18"/>
  <c r="T18" s="1"/>
  <c r="Q19"/>
  <c r="U20" s="1"/>
  <c r="P20"/>
  <c r="R22"/>
  <c r="T22" s="1"/>
  <c r="Q23"/>
  <c r="U24" s="1"/>
  <c r="P24"/>
  <c r="R26"/>
  <c r="T26" s="1"/>
  <c r="Q27"/>
  <c r="U28" s="1"/>
  <c r="P28"/>
  <c r="R30"/>
  <c r="T30" s="1"/>
  <c r="Q31"/>
  <c r="U32" s="1"/>
  <c r="P32"/>
  <c r="R34"/>
  <c r="T34" s="1"/>
  <c r="Q35"/>
  <c r="U36" s="1"/>
  <c r="P36"/>
  <c r="R38"/>
  <c r="T38" s="1"/>
  <c r="Q39"/>
  <c r="U40" s="1"/>
  <c r="P40"/>
  <c r="R42"/>
  <c r="T42" s="1"/>
  <c r="R5"/>
  <c r="T5" s="1"/>
  <c r="R9"/>
  <c r="T9" s="1"/>
  <c r="R13"/>
  <c r="T13" s="1"/>
  <c r="R17"/>
  <c r="T17" s="1"/>
  <c r="R21"/>
  <c r="T21" s="1"/>
  <c r="R25"/>
  <c r="T25" s="1"/>
  <c r="R29"/>
  <c r="T29" s="1"/>
  <c r="R33"/>
  <c r="T33" s="1"/>
  <c r="R37"/>
  <c r="T37" s="1"/>
  <c r="R41"/>
  <c r="T41" s="1"/>
  <c r="Q42"/>
  <c r="U43" s="1"/>
  <c r="Q5"/>
  <c r="U6" s="1"/>
  <c r="Q9"/>
  <c r="U10" s="1"/>
  <c r="Q13"/>
  <c r="U14" s="1"/>
  <c r="Q17"/>
  <c r="U18" s="1"/>
  <c r="Q21"/>
  <c r="U22" s="1"/>
  <c r="Q25"/>
  <c r="U26" s="1"/>
  <c r="Q29"/>
  <c r="U30" s="1"/>
  <c r="Q33"/>
  <c r="U34" s="1"/>
  <c r="Q37"/>
  <c r="U38" s="1"/>
  <c r="Q41"/>
  <c r="U42" s="1"/>
  <c r="Q5" i="5"/>
  <c r="U6" s="1"/>
  <c r="Q17"/>
  <c r="U18" s="1"/>
  <c r="Q3"/>
  <c r="U4" s="1"/>
  <c r="P4"/>
  <c r="Q7"/>
  <c r="U8" s="1"/>
  <c r="P8"/>
  <c r="Q11"/>
  <c r="U12" s="1"/>
  <c r="P12"/>
  <c r="Q15"/>
  <c r="U16" s="1"/>
  <c r="P16"/>
  <c r="Q19"/>
  <c r="U20" s="1"/>
  <c r="P20"/>
  <c r="Q23"/>
  <c r="U24" s="1"/>
  <c r="P24"/>
  <c r="Q27"/>
  <c r="U28" s="1"/>
  <c r="P28"/>
  <c r="Q31"/>
  <c r="U32" s="1"/>
  <c r="P32"/>
  <c r="Q35"/>
  <c r="U36" s="1"/>
  <c r="P36"/>
  <c r="R38"/>
  <c r="T38" s="1"/>
  <c r="P40"/>
  <c r="R42"/>
  <c r="T42" s="1"/>
  <c r="R5"/>
  <c r="T5" s="1"/>
  <c r="R9"/>
  <c r="T9" s="1"/>
  <c r="R13"/>
  <c r="T13" s="1"/>
  <c r="R17"/>
  <c r="T17" s="1"/>
  <c r="R21"/>
  <c r="T21" s="1"/>
  <c r="R25"/>
  <c r="T25" s="1"/>
  <c r="R29"/>
  <c r="T29" s="1"/>
  <c r="R33"/>
  <c r="T33" s="1"/>
  <c r="R37"/>
  <c r="T37" s="1"/>
  <c r="R41"/>
  <c r="T41" s="1"/>
  <c r="Q29"/>
  <c r="U30" s="1"/>
  <c r="Q33"/>
  <c r="U34" s="1"/>
  <c r="Q37"/>
  <c r="U38" s="1"/>
  <c r="Q41"/>
  <c r="U42" s="1"/>
  <c r="Q9"/>
  <c r="U10" s="1"/>
  <c r="Q13"/>
  <c r="U14" s="1"/>
  <c r="Q21"/>
  <c r="U22" s="1"/>
  <c r="R6" i="1"/>
  <c r="T6" s="1"/>
  <c r="R26"/>
  <c r="T26" s="1"/>
  <c r="R22"/>
  <c r="T22" s="1"/>
  <c r="R34"/>
  <c r="T34" s="1"/>
  <c r="R16"/>
  <c r="T16" s="1"/>
  <c r="Q34"/>
  <c r="U35" s="1"/>
  <c r="R27"/>
  <c r="T27" s="1"/>
  <c r="Q27"/>
  <c r="U28" s="1"/>
  <c r="R23"/>
  <c r="T23" s="1"/>
  <c r="Q12"/>
  <c r="U13" s="1"/>
  <c r="Q22"/>
  <c r="U23" s="1"/>
  <c r="Q8"/>
  <c r="U9" s="1"/>
  <c r="Q36"/>
  <c r="U37" s="1"/>
  <c r="R31"/>
  <c r="T31" s="1"/>
  <c r="Q15"/>
  <c r="U16" s="1"/>
  <c r="R43"/>
  <c r="T43" s="1"/>
  <c r="Q11"/>
  <c r="U12" s="1"/>
  <c r="R8"/>
  <c r="T8" s="1"/>
  <c r="R11"/>
  <c r="T11" s="1"/>
  <c r="R42"/>
  <c r="T42" s="1"/>
  <c r="R41"/>
  <c r="T41" s="1"/>
  <c r="R35"/>
  <c r="T35" s="1"/>
  <c r="Q20"/>
  <c r="U21" s="1"/>
  <c r="R21"/>
  <c r="T21" s="1"/>
  <c r="Q6"/>
  <c r="U7" s="1"/>
  <c r="Q16"/>
  <c r="U17" s="1"/>
  <c r="Q30"/>
  <c r="U31" s="1"/>
  <c r="R36"/>
  <c r="T36" s="1"/>
  <c r="R25"/>
  <c r="T25" s="1"/>
  <c r="R30"/>
  <c r="T30" s="1"/>
  <c r="R15"/>
  <c r="T15" s="1"/>
  <c r="Q43"/>
  <c r="U44" s="1"/>
  <c r="Q29"/>
  <c r="U30" s="1"/>
  <c r="Q25"/>
  <c r="U26" s="1"/>
  <c r="Q23"/>
  <c r="U24" s="1"/>
  <c r="R32"/>
  <c r="T32" s="1"/>
  <c r="R12"/>
  <c r="T12" s="1"/>
  <c r="R37"/>
  <c r="T37" s="1"/>
  <c r="Q42"/>
  <c r="U43" s="1"/>
  <c r="R7"/>
  <c r="T7" s="1"/>
  <c r="R45"/>
  <c r="T45" s="1"/>
  <c r="R19"/>
  <c r="T19" s="1"/>
  <c r="Q32"/>
  <c r="U33" s="1"/>
  <c r="Q14"/>
  <c r="U15" s="1"/>
  <c r="Q40"/>
  <c r="U41" s="1"/>
  <c r="Q37"/>
  <c r="U38" s="1"/>
  <c r="R14"/>
  <c r="T14" s="1"/>
  <c r="R40"/>
  <c r="T40" s="1"/>
  <c r="Q17"/>
  <c r="U18" s="1"/>
  <c r="Q44"/>
  <c r="U45" s="1"/>
  <c r="Q13"/>
  <c r="U14" s="1"/>
  <c r="Q10"/>
  <c r="U11" s="1"/>
  <c r="Q9"/>
  <c r="U10" s="1"/>
  <c r="Q21"/>
  <c r="U22" s="1"/>
  <c r="Q33"/>
  <c r="U34" s="1"/>
  <c r="Q18"/>
  <c r="U19" s="1"/>
  <c r="Q38"/>
  <c r="U39" s="1"/>
  <c r="R17"/>
  <c r="T17" s="1"/>
  <c r="R44"/>
  <c r="T44" s="1"/>
  <c r="R13"/>
  <c r="T13" s="1"/>
  <c r="R10"/>
  <c r="T10" s="1"/>
  <c r="R9"/>
  <c r="T9" s="1"/>
  <c r="R20"/>
  <c r="T20" s="1"/>
  <c r="R33"/>
  <c r="T33" s="1"/>
  <c r="R18"/>
  <c r="T18" s="1"/>
  <c r="R38"/>
  <c r="T38" s="1"/>
  <c r="Q24"/>
  <c r="U25" s="1"/>
  <c r="Q39"/>
  <c r="U40" s="1"/>
  <c r="Q28"/>
  <c r="U29" s="1"/>
  <c r="Q41"/>
  <c r="U42" s="1"/>
  <c r="Q26"/>
  <c r="U27" s="1"/>
  <c r="Q35"/>
  <c r="U36" s="1"/>
  <c r="Q31"/>
  <c r="U32" s="1"/>
  <c r="Q7"/>
  <c r="U8" s="1"/>
  <c r="Q45"/>
  <c r="U46" s="1"/>
  <c r="Q19"/>
  <c r="U20" s="1"/>
  <c r="U13" i="8" l="1"/>
  <c r="U21"/>
  <c r="U22"/>
  <c r="U35"/>
  <c r="U30"/>
  <c r="U19"/>
  <c r="U7"/>
  <c r="U31"/>
  <c r="U38"/>
  <c r="U34"/>
  <c r="U25"/>
  <c r="U12"/>
  <c r="U24"/>
  <c r="U18"/>
  <c r="U37"/>
  <c r="U16"/>
  <c r="U8"/>
  <c r="U6"/>
  <c r="U9"/>
  <c r="U3"/>
  <c r="U32"/>
  <c r="U23"/>
  <c r="U40"/>
  <c r="U14"/>
  <c r="U11"/>
  <c r="U10"/>
</calcChain>
</file>

<file path=xl/sharedStrings.xml><?xml version="1.0" encoding="utf-8"?>
<sst xmlns="http://schemas.openxmlformats.org/spreadsheetml/2006/main" count="784" uniqueCount="161">
  <si>
    <t>Sales Team Performance - Q1 (Jan to Mar)</t>
  </si>
  <si>
    <t>Blue headers = given data  |  Orange headers = columns YOU fill using formulas</t>
  </si>
  <si>
    <t>Employee Name</t>
  </si>
  <si>
    <t>Gender</t>
  </si>
  <si>
    <t>Age</t>
  </si>
  <si>
    <t>Region</t>
  </si>
  <si>
    <t>Contact No</t>
  </si>
  <si>
    <t>Days Worked</t>
  </si>
  <si>
    <t>Performance (1-10)</t>
  </si>
  <si>
    <t>Target (Rs)</t>
  </si>
  <si>
    <t>Jan Sales</t>
  </si>
  <si>
    <t>Feb Sales</t>
  </si>
  <si>
    <t>Mar Sales</t>
  </si>
  <si>
    <t>Total Sales</t>
  </si>
  <si>
    <t>Highest Month</t>
  </si>
  <si>
    <t>Lowest Month</t>
  </si>
  <si>
    <t>Average Sales</t>
  </si>
  <si>
    <t>Achievement %</t>
  </si>
  <si>
    <t>Target Status</t>
  </si>
  <si>
    <t>Promotion</t>
  </si>
  <si>
    <t>Bonus</t>
  </si>
  <si>
    <t>Grade</t>
  </si>
  <si>
    <t>Meena Mishra</t>
  </si>
  <si>
    <t>Female</t>
  </si>
  <si>
    <t>Lucknow</t>
  </si>
  <si>
    <t>7287921742</t>
  </si>
  <si>
    <t>Shivani Rathore</t>
  </si>
  <si>
    <t>Mumbai</t>
  </si>
  <si>
    <t>7908100339</t>
  </si>
  <si>
    <t>Sachin Yadav</t>
  </si>
  <si>
    <t>Male</t>
  </si>
  <si>
    <t>6174681453</t>
  </si>
  <si>
    <t>Sandeep Chauhan</t>
  </si>
  <si>
    <t>Delhi</t>
  </si>
  <si>
    <t>6033076661</t>
  </si>
  <si>
    <t>Kavita Sharma</t>
  </si>
  <si>
    <t>623100772</t>
  </si>
  <si>
    <t>Deepak Chauhan</t>
  </si>
  <si>
    <t>6494032699</t>
  </si>
  <si>
    <t>Sneha Chauhan</t>
  </si>
  <si>
    <t>6139309559</t>
  </si>
  <si>
    <t>Sachin Gupta</t>
  </si>
  <si>
    <t>Jaipur</t>
  </si>
  <si>
    <t>7933283679</t>
  </si>
  <si>
    <t>Pankaj Rathore</t>
  </si>
  <si>
    <t>8697482123</t>
  </si>
  <si>
    <t>Rohit Rathore</t>
  </si>
  <si>
    <t>6467300245</t>
  </si>
  <si>
    <t>7900754009</t>
  </si>
  <si>
    <t>Amit Mishra</t>
  </si>
  <si>
    <t>8025517160</t>
  </si>
  <si>
    <t>Karan Verma</t>
  </si>
  <si>
    <t>6146569777</t>
  </si>
  <si>
    <t>Priya Singh</t>
  </si>
  <si>
    <t>6797405429</t>
  </si>
  <si>
    <t>Manish Chauhan</t>
  </si>
  <si>
    <t>8363363953</t>
  </si>
  <si>
    <t>Pooja Verma</t>
  </si>
  <si>
    <t>9436687597</t>
  </si>
  <si>
    <t>Sneha Pandey</t>
  </si>
  <si>
    <t>6267304320</t>
  </si>
  <si>
    <t>Sachin Singh</t>
  </si>
  <si>
    <t>9420780234</t>
  </si>
  <si>
    <t>Nisha Singh</t>
  </si>
  <si>
    <t>9627730689</t>
  </si>
  <si>
    <t>Pankaj Pandey</t>
  </si>
  <si>
    <t>6336148540</t>
  </si>
  <si>
    <t>Divya Sharma</t>
  </si>
  <si>
    <t>6602852728</t>
  </si>
  <si>
    <t>Arjun Jain</t>
  </si>
  <si>
    <t>8828884469</t>
  </si>
  <si>
    <t>Deepak Jain</t>
  </si>
  <si>
    <t>69608086895</t>
  </si>
  <si>
    <t>Ritu Yadav</t>
  </si>
  <si>
    <t>9725678513</t>
  </si>
  <si>
    <t>Rohit Gupta</t>
  </si>
  <si>
    <t>6455397179</t>
  </si>
  <si>
    <t>Priya Chauhan</t>
  </si>
  <si>
    <t>9892838383</t>
  </si>
  <si>
    <t>Manish Agarwal</t>
  </si>
  <si>
    <t>7331232146</t>
  </si>
  <si>
    <t>Shivani Pandey</t>
  </si>
  <si>
    <t>6395518583</t>
  </si>
  <si>
    <t>7224190271</t>
  </si>
  <si>
    <t>Anjali Agarwal</t>
  </si>
  <si>
    <t>6032675563</t>
  </si>
  <si>
    <t>Komal Agarwal</t>
  </si>
  <si>
    <t>8441262585</t>
  </si>
  <si>
    <t>Sneha Mishra</t>
  </si>
  <si>
    <t>6590344536</t>
  </si>
  <si>
    <t>Pankaj Verma</t>
  </si>
  <si>
    <t>6191347680</t>
  </si>
  <si>
    <t>Kavita Jain</t>
  </si>
  <si>
    <t>9891718906</t>
  </si>
  <si>
    <t>Divya Chauhan</t>
  </si>
  <si>
    <t>9945847484</t>
  </si>
  <si>
    <t>Shivani Chauhan</t>
  </si>
  <si>
    <t>8609513674</t>
  </si>
  <si>
    <t>Rahul Agarwal</t>
  </si>
  <si>
    <t>Nisha Jain</t>
  </si>
  <si>
    <t>8237184895</t>
  </si>
  <si>
    <t>Anjali Singh</t>
  </si>
  <si>
    <t>7000446090</t>
  </si>
  <si>
    <t>Sachin Tomar</t>
  </si>
  <si>
    <t>9535572117</t>
  </si>
  <si>
    <t>Step</t>
  </si>
  <si>
    <t>Column to fill</t>
  </si>
  <si>
    <t>Formula/Tool from your notes</t>
  </si>
  <si>
    <t>What to do</t>
  </si>
  <si>
    <t>Clean data</t>
  </si>
  <si>
    <t>Remove Duplicates</t>
  </si>
  <si>
    <t>Sab columns select karke duplicate rows hatao. Kitni rows hati? Note karo.</t>
  </si>
  <si>
    <t>Blank cells</t>
  </si>
  <si>
    <t>Go To Special &gt; Blanks</t>
  </si>
  <si>
    <t>Age aur Performance ke blank cells dhundo. Age blank = 0 mat bharo, pehle socho kya karna sahi hai.</t>
  </si>
  <si>
    <t>Data Validation &gt; Text length</t>
  </si>
  <si>
    <t>Galat length wale numbers dhundo, phir validation lagao taaki aage 10 digit hi aaye.</t>
  </si>
  <si>
    <t>Name split</t>
  </si>
  <si>
    <t>Text to Columns / Flash Fill</t>
  </si>
  <si>
    <t>Employee Name se First Name aur Last Name alag columns mein karo.</t>
  </si>
  <si>
    <t>SUM</t>
  </si>
  <si>
    <t>Jan + Feb + Mar.</t>
  </si>
  <si>
    <t>Highest / Lowest Month</t>
  </si>
  <si>
    <t>MAX, MIN</t>
  </si>
  <si>
    <t>Teeno months mein se sabse zyada aur sabse kam sales.</t>
  </si>
  <si>
    <t>AVERAGE</t>
  </si>
  <si>
    <t>Teeno months ka average.</t>
  </si>
  <si>
    <t>Simple divide + % format</t>
  </si>
  <si>
    <t>Total Sales / Target.</t>
  </si>
  <si>
    <t>IF</t>
  </si>
  <si>
    <t>Total Sales &gt;= Target to Achieved, warna Not Achieved.</t>
  </si>
  <si>
    <t>IF + AND</t>
  </si>
  <si>
    <t>Days Worked &gt;= 125 AND Performance &gt;= 7 dono ho tabhi Yes.</t>
  </si>
  <si>
    <t>IF + OR</t>
  </si>
  <si>
    <t>Target achieve kiya ho OR Performance &gt;= 9 ho to Yes.</t>
  </si>
  <si>
    <t>Nested IF ya IFS</t>
  </si>
  <si>
    <t>Achievement %: 100%+ = A++, 85%+ = A+, 70%+ = A, 50%+ = B, warna Fail.</t>
  </si>
  <si>
    <t>Highlight</t>
  </si>
  <si>
    <t>Conditional Formatting</t>
  </si>
  <si>
    <t>Not Achieved wale rows red, Top 5 Total Sales green, Data Bars Total Sales par.</t>
  </si>
  <si>
    <t>Analysis</t>
  </si>
  <si>
    <t>Sort + Filter</t>
  </si>
  <si>
    <t>Sabse zyada sales wale employee upar. Phir sirf Delhi region filter karo.</t>
  </si>
  <si>
    <t>Dropdown</t>
  </si>
  <si>
    <t>Data Validation &gt; List</t>
  </si>
  <si>
    <t>Region column mein dropdown banao: Delhi, Mumbai, Jaipur, Lucknow.</t>
  </si>
  <si>
    <t>Report sheet</t>
  </si>
  <si>
    <t>Paste Special &gt; Values</t>
  </si>
  <si>
    <t>Report sheet ke yellow boxes bharo. Final report ke liye formulas hatakar sirf values paste karo.</t>
  </si>
  <si>
    <t>Q1 Sales Report</t>
  </si>
  <si>
    <t>Metric</t>
  </si>
  <si>
    <t>Your Answer</t>
  </si>
  <si>
    <t>Total company sales (Q1)</t>
  </si>
  <si>
    <t>Highest employee Total Sales</t>
  </si>
  <si>
    <t>Lowest employee Total Sales</t>
  </si>
  <si>
    <t>Average Total Sales per employee</t>
  </si>
  <si>
    <t>Employees who Achieved Target</t>
  </si>
  <si>
    <t>Employees eligible for Promotion</t>
  </si>
  <si>
    <t>4567764566</t>
  </si>
  <si>
    <t>Sr . No.</t>
  </si>
  <si>
    <t>Sales_Data!Sheet5!R:R,H20&gt;=9),"YES","NO")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</si>
</sst>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b/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3" fontId="3" fillId="4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9" fontId="3" fillId="4" borderId="1" xfId="1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0" fontId="0" fillId="6" borderId="0" xfId="0" applyFill="1"/>
    <xf numFmtId="0" fontId="3" fillId="6" borderId="1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1" xfId="0" applyBorder="1"/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0" fillId="0" borderId="1" xfId="0" applyNumberFormat="1" applyBorder="1"/>
    <xf numFmtId="3" fontId="3" fillId="6" borderId="0" xfId="0" applyNumberFormat="1" applyFont="1" applyFill="1" applyAlignment="1">
      <alignment vertical="center"/>
    </xf>
    <xf numFmtId="3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9" fontId="3" fillId="4" borderId="0" xfId="1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zoomScale="110" zoomScaleNormal="110" workbookViewId="0">
      <pane xSplit="2" ySplit="4" topLeftCell="O29" activePane="bottomRight" state="frozen"/>
      <selection pane="topRight"/>
      <selection pane="bottomLeft"/>
      <selection pane="bottomRight" activeCell="S5" sqref="S2:S5"/>
    </sheetView>
  </sheetViews>
  <sheetFormatPr defaultRowHeight="14.5"/>
  <cols>
    <col min="1" max="1" width="4.08984375" customWidth="1"/>
    <col min="2" max="2" width="65.26953125" customWidth="1"/>
    <col min="3" max="3" width="9" customWidth="1"/>
    <col min="4" max="4" width="6" customWidth="1"/>
    <col min="5" max="5" width="10" customWidth="1"/>
    <col min="6" max="6" width="14" customWidth="1"/>
    <col min="7" max="7" width="9" customWidth="1"/>
    <col min="8" max="8" width="12" customWidth="1"/>
    <col min="9" max="9" width="11" customWidth="1"/>
    <col min="10" max="12" width="10" customWidth="1"/>
    <col min="13" max="17" width="12" customWidth="1"/>
    <col min="18" max="18" width="13.90625" bestFit="1" customWidth="1"/>
    <col min="19" max="19" width="11" customWidth="1"/>
    <col min="20" max="20" width="9" customWidth="1"/>
    <col min="21" max="21" width="8" customWidth="1"/>
  </cols>
  <sheetData>
    <row r="1" spans="1:21" ht="16.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19"/>
      <c r="N1" s="19"/>
      <c r="O1" s="19"/>
      <c r="P1" s="19"/>
      <c r="Q1" s="19"/>
      <c r="R1" s="19"/>
      <c r="S1" s="19"/>
      <c r="T1" s="19"/>
      <c r="U1" s="19"/>
    </row>
    <row r="2" spans="1:21">
      <c r="A2" s="25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 ht="32" customHeight="1">
      <c r="A4" s="24" t="s">
        <v>159</v>
      </c>
      <c r="B4" s="11" t="s">
        <v>2</v>
      </c>
      <c r="C4" s="11" t="s">
        <v>3</v>
      </c>
      <c r="D4" s="26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  <c r="R4" s="12" t="s">
        <v>18</v>
      </c>
      <c r="S4" s="12" t="s">
        <v>19</v>
      </c>
      <c r="T4" s="12" t="s">
        <v>20</v>
      </c>
      <c r="U4" s="12" t="s">
        <v>21</v>
      </c>
    </row>
    <row r="5" spans="1:2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4"/>
      <c r="N5" s="34"/>
      <c r="O5" s="34"/>
      <c r="P5" s="30"/>
      <c r="Q5" s="30"/>
      <c r="R5" s="30"/>
      <c r="S5" s="30"/>
      <c r="T5" s="30"/>
      <c r="U5" s="30"/>
    </row>
    <row r="6" spans="1:21">
      <c r="A6" s="13">
        <v>38</v>
      </c>
      <c r="B6" s="13" t="s">
        <v>99</v>
      </c>
      <c r="C6" s="13" t="s">
        <v>23</v>
      </c>
      <c r="D6" s="13">
        <v>26</v>
      </c>
      <c r="E6" s="13" t="s">
        <v>27</v>
      </c>
      <c r="F6" s="14" t="s">
        <v>100</v>
      </c>
      <c r="G6" s="13">
        <v>127</v>
      </c>
      <c r="H6" s="13">
        <v>6</v>
      </c>
      <c r="I6" s="15">
        <v>180000</v>
      </c>
      <c r="J6" s="15">
        <v>73000</v>
      </c>
      <c r="K6" s="15">
        <v>66000</v>
      </c>
      <c r="L6" s="15">
        <v>74000</v>
      </c>
      <c r="M6" s="16">
        <f t="shared" ref="M6:M45" si="0">SUM(J6:L6)</f>
        <v>213000</v>
      </c>
      <c r="N6" s="16">
        <f t="shared" ref="N6:N45" si="1">MAX(J6:L6)</f>
        <v>74000</v>
      </c>
      <c r="O6" s="16">
        <f t="shared" ref="O6:O48" si="2">MIN(J6:L6)</f>
        <v>66000</v>
      </c>
      <c r="P6" s="18">
        <f>AVERAGE(M6/3)</f>
        <v>71000</v>
      </c>
      <c r="Q6" s="18">
        <f t="shared" ref="Q6:Q48" si="3">M6/I6</f>
        <v>1.1833333333333333</v>
      </c>
      <c r="R6" s="20" t="str">
        <f>IF(M6&gt;=75000,"Target Achieved","Achieved")</f>
        <v>Target Achieved</v>
      </c>
      <c r="S6" s="27" t="str">
        <f>IF(AND(G5&gt;=125,H5&gt;=8),"YES","NO")</f>
        <v>NO</v>
      </c>
      <c r="T6" s="20" t="str">
        <f t="shared" ref="T6:T48" si="4">IF(OR(R6="achieved",H6&gt;=9),"YES","NO")</f>
        <v>NO</v>
      </c>
      <c r="U6" s="20" t="str">
        <f>IF(Q5&gt;=90%,"A++",IF(Q5&gt;=85%,"A+",IF(Q5&gt;=75%,"A","B")))</f>
        <v>B</v>
      </c>
    </row>
    <row r="7" spans="1:21">
      <c r="A7" s="13">
        <v>12</v>
      </c>
      <c r="B7" s="13" t="s">
        <v>49</v>
      </c>
      <c r="C7" s="13" t="s">
        <v>30</v>
      </c>
      <c r="D7" s="13">
        <v>39</v>
      </c>
      <c r="E7" s="13" t="s">
        <v>24</v>
      </c>
      <c r="F7" s="14" t="s">
        <v>50</v>
      </c>
      <c r="G7" s="13">
        <v>141</v>
      </c>
      <c r="H7" s="13">
        <v>8</v>
      </c>
      <c r="I7" s="15">
        <v>120000</v>
      </c>
      <c r="J7" s="15">
        <v>69000</v>
      </c>
      <c r="K7" s="15">
        <v>72000</v>
      </c>
      <c r="L7" s="15">
        <v>54000</v>
      </c>
      <c r="M7" s="16">
        <f t="shared" si="0"/>
        <v>195000</v>
      </c>
      <c r="N7" s="16">
        <f t="shared" si="1"/>
        <v>72000</v>
      </c>
      <c r="O7" s="16">
        <f t="shared" si="2"/>
        <v>54000</v>
      </c>
      <c r="P7" s="18">
        <f t="shared" ref="P7:P45" si="5">AVERAGE(M7/3)</f>
        <v>65000</v>
      </c>
      <c r="Q7" s="18">
        <f t="shared" si="3"/>
        <v>1.625</v>
      </c>
      <c r="R7" s="20" t="str">
        <f>IF(M7&gt;=75000,"achieved","Not Achieved")</f>
        <v>achieved</v>
      </c>
      <c r="S7" s="27" t="str">
        <f>IF(AND(G6&gt;=125,H6&gt;=8),"YES","NO")</f>
        <v>NO</v>
      </c>
      <c r="T7" s="20" t="str">
        <f t="shared" si="4"/>
        <v>YES</v>
      </c>
      <c r="U7" s="20" t="str">
        <f t="shared" ref="U7:U48" si="6">IF(Q6&gt;=90%,"A++",IF(Q6&gt;=85%,"A+",IF(Q6&gt;=75%,"A","B")))</f>
        <v>A++</v>
      </c>
    </row>
    <row r="8" spans="1:21">
      <c r="A8" s="13">
        <v>18</v>
      </c>
      <c r="B8" s="13" t="s">
        <v>61</v>
      </c>
      <c r="C8" s="13" t="s">
        <v>30</v>
      </c>
      <c r="D8" s="13">
        <v>28</v>
      </c>
      <c r="E8" s="13" t="s">
        <v>27</v>
      </c>
      <c r="F8" s="14" t="s">
        <v>62</v>
      </c>
      <c r="G8" s="13">
        <v>132</v>
      </c>
      <c r="H8" s="13">
        <v>8</v>
      </c>
      <c r="I8" s="15">
        <v>200000</v>
      </c>
      <c r="J8" s="15">
        <v>63000</v>
      </c>
      <c r="K8" s="15">
        <v>62000</v>
      </c>
      <c r="L8" s="15">
        <v>69000</v>
      </c>
      <c r="M8" s="16">
        <f t="shared" si="0"/>
        <v>194000</v>
      </c>
      <c r="N8" s="16">
        <f t="shared" si="1"/>
        <v>69000</v>
      </c>
      <c r="O8" s="16">
        <f t="shared" si="2"/>
        <v>62000</v>
      </c>
      <c r="P8" s="18">
        <f t="shared" si="5"/>
        <v>64666.666666666664</v>
      </c>
      <c r="Q8" s="18">
        <f t="shared" si="3"/>
        <v>0.97</v>
      </c>
      <c r="R8" s="20" t="str">
        <f>IF(M8&gt;=75000,"Target Achieved","Achieved")</f>
        <v>Target Achieved</v>
      </c>
      <c r="S8" s="27" t="str">
        <f>IF(AND(G7&gt;=125,H7&gt;=8),"YES","NO")</f>
        <v>YES</v>
      </c>
      <c r="T8" s="20" t="str">
        <f t="shared" si="4"/>
        <v>NO</v>
      </c>
      <c r="U8" s="20" t="str">
        <f t="shared" si="6"/>
        <v>A++</v>
      </c>
    </row>
    <row r="9" spans="1:21">
      <c r="A9" s="13">
        <v>21</v>
      </c>
      <c r="B9" s="13" t="s">
        <v>67</v>
      </c>
      <c r="C9" s="13" t="s">
        <v>23</v>
      </c>
      <c r="D9" s="13">
        <v>28</v>
      </c>
      <c r="E9" s="13" t="s">
        <v>33</v>
      </c>
      <c r="F9" s="14" t="s">
        <v>68</v>
      </c>
      <c r="G9" s="13">
        <v>143</v>
      </c>
      <c r="H9" s="13">
        <v>10</v>
      </c>
      <c r="I9" s="15">
        <v>200000</v>
      </c>
      <c r="J9" s="15">
        <v>74000</v>
      </c>
      <c r="K9" s="15">
        <v>58000</v>
      </c>
      <c r="L9" s="15">
        <v>61000</v>
      </c>
      <c r="M9" s="16">
        <f t="shared" si="0"/>
        <v>193000</v>
      </c>
      <c r="N9" s="16">
        <f t="shared" si="1"/>
        <v>74000</v>
      </c>
      <c r="O9" s="16">
        <f t="shared" si="2"/>
        <v>58000</v>
      </c>
      <c r="P9" s="18">
        <f t="shared" si="5"/>
        <v>64333.333333333336</v>
      </c>
      <c r="Q9" s="18">
        <f t="shared" si="3"/>
        <v>0.96499999999999997</v>
      </c>
      <c r="R9" s="20" t="str">
        <f>IF(M9&gt;=75000,"Target Achieved","Achieved")</f>
        <v>Target Achieved</v>
      </c>
      <c r="S9" s="27" t="str">
        <f>IF(AND(G9&gt;=125,H9&gt;=7),"YES","NO")</f>
        <v>YES</v>
      </c>
      <c r="T9" s="20" t="str">
        <f t="shared" si="4"/>
        <v>YES</v>
      </c>
      <c r="U9" s="20" t="str">
        <f t="shared" si="6"/>
        <v>A++</v>
      </c>
    </row>
    <row r="10" spans="1:21">
      <c r="A10" s="13">
        <v>25</v>
      </c>
      <c r="B10" s="13" t="s">
        <v>75</v>
      </c>
      <c r="C10" s="13" t="s">
        <v>30</v>
      </c>
      <c r="D10" s="13">
        <v>29</v>
      </c>
      <c r="E10" s="13" t="s">
        <v>27</v>
      </c>
      <c r="F10" s="14" t="s">
        <v>76</v>
      </c>
      <c r="G10" s="13">
        <v>117</v>
      </c>
      <c r="H10" s="13">
        <v>10</v>
      </c>
      <c r="I10" s="15">
        <v>180000</v>
      </c>
      <c r="J10" s="15">
        <v>69000</v>
      </c>
      <c r="K10" s="15">
        <v>46000</v>
      </c>
      <c r="L10" s="15">
        <v>75000</v>
      </c>
      <c r="M10" s="16">
        <f t="shared" si="0"/>
        <v>190000</v>
      </c>
      <c r="N10" s="16">
        <f t="shared" si="1"/>
        <v>75000</v>
      </c>
      <c r="O10" s="16">
        <f t="shared" si="2"/>
        <v>46000</v>
      </c>
      <c r="P10" s="18">
        <f t="shared" si="5"/>
        <v>63333.333333333336</v>
      </c>
      <c r="Q10" s="18">
        <f t="shared" si="3"/>
        <v>1.0555555555555556</v>
      </c>
      <c r="R10" s="20" t="str">
        <f>IF(M10&gt;=75000,"Target Achieved","Achieved")</f>
        <v>Target Achieved</v>
      </c>
      <c r="S10" s="27" t="str">
        <f>IF(AND(G10&gt;=125,H10&gt;=7),"YES","NO")</f>
        <v>NO</v>
      </c>
      <c r="T10" s="20" t="str">
        <f t="shared" si="4"/>
        <v>YES</v>
      </c>
      <c r="U10" s="20" t="str">
        <f t="shared" si="6"/>
        <v>A++</v>
      </c>
    </row>
    <row r="11" spans="1:21">
      <c r="A11" s="13">
        <v>14</v>
      </c>
      <c r="B11" s="13" t="s">
        <v>53</v>
      </c>
      <c r="C11" s="13" t="s">
        <v>23</v>
      </c>
      <c r="D11" s="13">
        <v>44</v>
      </c>
      <c r="E11" s="13" t="s">
        <v>24</v>
      </c>
      <c r="F11" s="14" t="s">
        <v>54</v>
      </c>
      <c r="G11" s="13">
        <v>122</v>
      </c>
      <c r="H11" s="13">
        <v>8</v>
      </c>
      <c r="I11" s="15">
        <v>140000</v>
      </c>
      <c r="J11" s="15">
        <v>51000</v>
      </c>
      <c r="K11" s="15">
        <v>72000</v>
      </c>
      <c r="L11" s="15">
        <v>58000</v>
      </c>
      <c r="M11" s="16">
        <f t="shared" si="0"/>
        <v>181000</v>
      </c>
      <c r="N11" s="16">
        <f t="shared" si="1"/>
        <v>72000</v>
      </c>
      <c r="O11" s="16">
        <f t="shared" si="2"/>
        <v>51000</v>
      </c>
      <c r="P11" s="18">
        <f t="shared" si="5"/>
        <v>60333.333333333336</v>
      </c>
      <c r="Q11" s="18">
        <f t="shared" si="3"/>
        <v>1.2928571428571429</v>
      </c>
      <c r="R11" s="20" t="str">
        <f>IF(M11&gt;=75000,"achieved","Not Achieved")</f>
        <v>achieved</v>
      </c>
      <c r="S11" s="27" t="str">
        <f>IF(AND(G10&gt;=125,H10&gt;=8),"YES","NO")</f>
        <v>NO</v>
      </c>
      <c r="T11" s="20" t="str">
        <f t="shared" si="4"/>
        <v>YES</v>
      </c>
      <c r="U11" s="20" t="str">
        <f t="shared" si="6"/>
        <v>A++</v>
      </c>
    </row>
    <row r="12" spans="1:21">
      <c r="A12" s="13">
        <v>19</v>
      </c>
      <c r="B12" s="13" t="s">
        <v>63</v>
      </c>
      <c r="C12" s="13" t="s">
        <v>23</v>
      </c>
      <c r="D12" s="13">
        <v>24</v>
      </c>
      <c r="E12" s="13" t="s">
        <v>27</v>
      </c>
      <c r="F12" s="14" t="s">
        <v>64</v>
      </c>
      <c r="G12" s="13">
        <v>142</v>
      </c>
      <c r="H12" s="13">
        <v>10</v>
      </c>
      <c r="I12" s="15">
        <v>150000</v>
      </c>
      <c r="J12" s="15">
        <v>59000</v>
      </c>
      <c r="K12" s="15">
        <v>50000</v>
      </c>
      <c r="L12" s="15">
        <v>71000</v>
      </c>
      <c r="M12" s="16">
        <f t="shared" si="0"/>
        <v>180000</v>
      </c>
      <c r="N12" s="16">
        <f t="shared" si="1"/>
        <v>71000</v>
      </c>
      <c r="O12" s="16">
        <f t="shared" si="2"/>
        <v>50000</v>
      </c>
      <c r="P12" s="18">
        <f t="shared" si="5"/>
        <v>60000</v>
      </c>
      <c r="Q12" s="18">
        <f t="shared" si="3"/>
        <v>1.2</v>
      </c>
      <c r="R12" s="20" t="str">
        <f>IF(M12&gt;=75000,"Target Achieved","Achieved")</f>
        <v>Target Achieved</v>
      </c>
      <c r="S12" s="27" t="str">
        <f>IF(AND(G12&gt;=125,H12&gt;=7),"YES","NO")</f>
        <v>YES</v>
      </c>
      <c r="T12" s="20" t="str">
        <f t="shared" si="4"/>
        <v>YES</v>
      </c>
      <c r="U12" s="20" t="str">
        <f t="shared" si="6"/>
        <v>A++</v>
      </c>
    </row>
    <row r="13" spans="1:21">
      <c r="A13" s="13">
        <v>29</v>
      </c>
      <c r="B13" s="13" t="s">
        <v>75</v>
      </c>
      <c r="C13" s="13" t="s">
        <v>30</v>
      </c>
      <c r="D13" s="13">
        <v>25</v>
      </c>
      <c r="E13" s="13" t="s">
        <v>42</v>
      </c>
      <c r="F13" s="14" t="s">
        <v>83</v>
      </c>
      <c r="G13" s="13">
        <v>116</v>
      </c>
      <c r="H13" s="13">
        <v>6</v>
      </c>
      <c r="I13" s="15">
        <v>160000</v>
      </c>
      <c r="J13" s="15">
        <v>59000</v>
      </c>
      <c r="K13" s="15">
        <v>57000</v>
      </c>
      <c r="L13" s="15">
        <v>62000</v>
      </c>
      <c r="M13" s="16">
        <f t="shared" si="0"/>
        <v>178000</v>
      </c>
      <c r="N13" s="16">
        <f t="shared" si="1"/>
        <v>62000</v>
      </c>
      <c r="O13" s="16">
        <f t="shared" si="2"/>
        <v>57000</v>
      </c>
      <c r="P13" s="18">
        <f t="shared" si="5"/>
        <v>59333.333333333336</v>
      </c>
      <c r="Q13" s="18">
        <f t="shared" si="3"/>
        <v>1.1125</v>
      </c>
      <c r="R13" s="20" t="str">
        <f>IF(M13&gt;=75000,"Target Achieved","Achieved")</f>
        <v>Target Achieved</v>
      </c>
      <c r="S13" s="27" t="str">
        <f>IF(AND(G13&gt;=125,H13&gt;=7),"YES","NO")</f>
        <v>NO</v>
      </c>
      <c r="T13" s="20" t="str">
        <f t="shared" si="4"/>
        <v>NO</v>
      </c>
      <c r="U13" s="20" t="str">
        <f t="shared" si="6"/>
        <v>A++</v>
      </c>
    </row>
    <row r="14" spans="1:21">
      <c r="A14" s="13">
        <v>27</v>
      </c>
      <c r="B14" s="13" t="s">
        <v>79</v>
      </c>
      <c r="C14" s="13" t="s">
        <v>30</v>
      </c>
      <c r="D14" s="13">
        <v>32</v>
      </c>
      <c r="E14" s="13" t="s">
        <v>27</v>
      </c>
      <c r="F14" s="14" t="s">
        <v>80</v>
      </c>
      <c r="G14" s="13">
        <v>116</v>
      </c>
      <c r="H14" s="13">
        <v>7</v>
      </c>
      <c r="I14" s="15">
        <v>160000</v>
      </c>
      <c r="J14" s="15">
        <v>64000</v>
      </c>
      <c r="K14" s="15">
        <v>75000</v>
      </c>
      <c r="L14" s="15">
        <v>38000</v>
      </c>
      <c r="M14" s="16">
        <f t="shared" si="0"/>
        <v>177000</v>
      </c>
      <c r="N14" s="16">
        <f t="shared" si="1"/>
        <v>75000</v>
      </c>
      <c r="O14" s="16">
        <f t="shared" si="2"/>
        <v>38000</v>
      </c>
      <c r="P14" s="18">
        <f t="shared" si="5"/>
        <v>59000</v>
      </c>
      <c r="Q14" s="18">
        <f t="shared" si="3"/>
        <v>1.10625</v>
      </c>
      <c r="R14" s="20" t="str">
        <f>IF(M14&gt;=75000,"Target Achieved","Achieved")</f>
        <v>Target Achieved</v>
      </c>
      <c r="S14" s="27" t="str">
        <f>IF(AND(G14&gt;=125,H14&gt;=7),"YES","NO")</f>
        <v>NO</v>
      </c>
      <c r="T14" s="20" t="str">
        <f t="shared" si="4"/>
        <v>NO</v>
      </c>
      <c r="U14" s="20" t="str">
        <f t="shared" si="6"/>
        <v>A++</v>
      </c>
    </row>
    <row r="15" spans="1:21">
      <c r="A15" s="13">
        <v>2</v>
      </c>
      <c r="B15" s="13" t="s">
        <v>26</v>
      </c>
      <c r="C15" s="13" t="s">
        <v>23</v>
      </c>
      <c r="D15" s="13">
        <v>41</v>
      </c>
      <c r="E15" s="13" t="s">
        <v>27</v>
      </c>
      <c r="F15" s="14" t="s">
        <v>28</v>
      </c>
      <c r="G15" s="13">
        <v>111</v>
      </c>
      <c r="H15" s="13">
        <v>10</v>
      </c>
      <c r="I15" s="15">
        <v>160000</v>
      </c>
      <c r="J15" s="15">
        <v>50000</v>
      </c>
      <c r="K15" s="15">
        <v>58000</v>
      </c>
      <c r="L15" s="15">
        <v>67000</v>
      </c>
      <c r="M15" s="16">
        <f t="shared" si="0"/>
        <v>175000</v>
      </c>
      <c r="N15" s="16">
        <f t="shared" si="1"/>
        <v>67000</v>
      </c>
      <c r="O15" s="16">
        <f t="shared" si="2"/>
        <v>50000</v>
      </c>
      <c r="P15" s="18">
        <f t="shared" si="5"/>
        <v>58333.333333333336</v>
      </c>
      <c r="Q15" s="18">
        <f t="shared" si="3"/>
        <v>1.09375</v>
      </c>
      <c r="R15" s="20" t="str">
        <f>IF(M15&gt;=75000,"achieved","Not Achieved")</f>
        <v>achieved</v>
      </c>
      <c r="S15" s="27" t="str">
        <f>IF(AND(G14&gt;=125,H14&gt;=8),"YES","NO")</f>
        <v>NO</v>
      </c>
      <c r="T15" s="20" t="str">
        <f t="shared" si="4"/>
        <v>YES</v>
      </c>
      <c r="U15" s="20" t="str">
        <f t="shared" si="6"/>
        <v>A++</v>
      </c>
    </row>
    <row r="16" spans="1:21">
      <c r="A16" s="13">
        <v>22</v>
      </c>
      <c r="B16" s="13" t="s">
        <v>69</v>
      </c>
      <c r="C16" s="13" t="s">
        <v>30</v>
      </c>
      <c r="D16" s="13">
        <v>39</v>
      </c>
      <c r="E16" s="13" t="s">
        <v>24</v>
      </c>
      <c r="F16" s="14" t="s">
        <v>70</v>
      </c>
      <c r="G16" s="13">
        <v>123</v>
      </c>
      <c r="H16" s="13">
        <v>6</v>
      </c>
      <c r="I16" s="15">
        <v>140000</v>
      </c>
      <c r="J16" s="15">
        <v>64000</v>
      </c>
      <c r="K16" s="15">
        <v>63000</v>
      </c>
      <c r="L16" s="15">
        <v>47000</v>
      </c>
      <c r="M16" s="16">
        <f t="shared" si="0"/>
        <v>174000</v>
      </c>
      <c r="N16" s="16">
        <f t="shared" si="1"/>
        <v>64000</v>
      </c>
      <c r="O16" s="16">
        <f t="shared" si="2"/>
        <v>47000</v>
      </c>
      <c r="P16" s="18">
        <f t="shared" si="5"/>
        <v>58000</v>
      </c>
      <c r="Q16" s="18">
        <f t="shared" si="3"/>
        <v>1.2428571428571429</v>
      </c>
      <c r="R16" s="20" t="str">
        <f>IF(M16&gt;=75000,"Target Achieved","Achieved")</f>
        <v>Target Achieved</v>
      </c>
      <c r="S16" s="27" t="str">
        <f>IF(AND(G15&gt;=125,H15&gt;=8),"YES","NO")</f>
        <v>NO</v>
      </c>
      <c r="T16" s="20" t="str">
        <f t="shared" si="4"/>
        <v>NO</v>
      </c>
      <c r="U16" s="20" t="str">
        <f t="shared" si="6"/>
        <v>A++</v>
      </c>
    </row>
    <row r="17" spans="1:21">
      <c r="A17" s="13">
        <v>37</v>
      </c>
      <c r="B17" s="13" t="s">
        <v>98</v>
      </c>
      <c r="C17" s="13" t="s">
        <v>30</v>
      </c>
      <c r="D17" s="13">
        <v>35</v>
      </c>
      <c r="E17" s="13" t="s">
        <v>24</v>
      </c>
      <c r="F17" s="14" t="s">
        <v>158</v>
      </c>
      <c r="G17" s="13">
        <v>118</v>
      </c>
      <c r="H17" s="13">
        <v>9</v>
      </c>
      <c r="I17" s="15">
        <v>160000</v>
      </c>
      <c r="J17" s="15">
        <v>59000</v>
      </c>
      <c r="K17" s="15">
        <v>68000</v>
      </c>
      <c r="L17" s="15">
        <v>46000</v>
      </c>
      <c r="M17" s="16">
        <f t="shared" si="0"/>
        <v>173000</v>
      </c>
      <c r="N17" s="16">
        <f t="shared" si="1"/>
        <v>68000</v>
      </c>
      <c r="O17" s="16">
        <f t="shared" si="2"/>
        <v>46000</v>
      </c>
      <c r="P17" s="18">
        <f t="shared" si="5"/>
        <v>57666.666666666664</v>
      </c>
      <c r="Q17" s="18">
        <f t="shared" si="3"/>
        <v>1.08125</v>
      </c>
      <c r="R17" s="20" t="str">
        <f>IF(M17&gt;=75000,"Target Achieved","Achieved")</f>
        <v>Target Achieved</v>
      </c>
      <c r="S17" s="27" t="str">
        <f>IF(AND(G17&gt;=125,H17&gt;=7),"YES","NO")</f>
        <v>NO</v>
      </c>
      <c r="T17" s="20" t="str">
        <f t="shared" si="4"/>
        <v>YES</v>
      </c>
      <c r="U17" s="20" t="str">
        <f t="shared" si="6"/>
        <v>A++</v>
      </c>
    </row>
    <row r="18" spans="1:21">
      <c r="A18" s="13">
        <v>9</v>
      </c>
      <c r="B18" s="13" t="s">
        <v>44</v>
      </c>
      <c r="C18" s="13" t="s">
        <v>30</v>
      </c>
      <c r="D18" s="13">
        <v>34</v>
      </c>
      <c r="E18" s="13" t="s">
        <v>42</v>
      </c>
      <c r="F18" s="14" t="s">
        <v>45</v>
      </c>
      <c r="G18" s="13">
        <v>140</v>
      </c>
      <c r="H18" s="13">
        <v>8</v>
      </c>
      <c r="I18" s="15">
        <v>200000</v>
      </c>
      <c r="J18" s="15">
        <v>69000</v>
      </c>
      <c r="K18" s="15">
        <v>69000</v>
      </c>
      <c r="L18" s="15">
        <v>34000</v>
      </c>
      <c r="M18" s="16">
        <f t="shared" si="0"/>
        <v>172000</v>
      </c>
      <c r="N18" s="16">
        <f t="shared" si="1"/>
        <v>69000</v>
      </c>
      <c r="O18" s="16">
        <f t="shared" si="2"/>
        <v>34000</v>
      </c>
      <c r="P18" s="18">
        <f t="shared" si="5"/>
        <v>57333.333333333336</v>
      </c>
      <c r="Q18" s="18">
        <f t="shared" si="3"/>
        <v>0.86</v>
      </c>
      <c r="R18" s="20" t="str">
        <f>IF(M18&gt;=75000,"achieved","Not Achieved")</f>
        <v>achieved</v>
      </c>
      <c r="S18" s="27" t="str">
        <f>IF(AND(G18&gt;=125,H18&gt;=7),"YES","NO")</f>
        <v>YES</v>
      </c>
      <c r="T18" s="20" t="str">
        <f t="shared" si="4"/>
        <v>YES</v>
      </c>
      <c r="U18" s="20" t="str">
        <f t="shared" si="6"/>
        <v>A++</v>
      </c>
    </row>
    <row r="19" spans="1:21">
      <c r="A19" s="13">
        <v>4</v>
      </c>
      <c r="B19" s="13" t="s">
        <v>32</v>
      </c>
      <c r="C19" s="13" t="s">
        <v>30</v>
      </c>
      <c r="D19" s="13">
        <v>24</v>
      </c>
      <c r="E19" s="13" t="s">
        <v>33</v>
      </c>
      <c r="F19" s="14" t="s">
        <v>34</v>
      </c>
      <c r="G19" s="13">
        <v>146</v>
      </c>
      <c r="H19" s="13">
        <v>9</v>
      </c>
      <c r="I19" s="15">
        <v>140000</v>
      </c>
      <c r="J19" s="15">
        <v>73000</v>
      </c>
      <c r="K19" s="15">
        <v>47000</v>
      </c>
      <c r="L19" s="15">
        <v>51000</v>
      </c>
      <c r="M19" s="16">
        <f t="shared" si="0"/>
        <v>171000</v>
      </c>
      <c r="N19" s="16">
        <f t="shared" si="1"/>
        <v>73000</v>
      </c>
      <c r="O19" s="16">
        <f t="shared" si="2"/>
        <v>47000</v>
      </c>
      <c r="P19" s="18">
        <f t="shared" si="5"/>
        <v>57000</v>
      </c>
      <c r="Q19" s="18">
        <f t="shared" si="3"/>
        <v>1.2214285714285715</v>
      </c>
      <c r="R19" s="20" t="str">
        <f>IF(M19&gt;=75000,"achieved","Not Achieved")</f>
        <v>achieved</v>
      </c>
      <c r="S19" s="27" t="str">
        <f>IF(AND(G18&gt;=125,H18&gt;=8),"YES","NO")</f>
        <v>YES</v>
      </c>
      <c r="T19" s="20" t="str">
        <f t="shared" si="4"/>
        <v>YES</v>
      </c>
      <c r="U19" s="20" t="str">
        <f t="shared" si="6"/>
        <v>A+</v>
      </c>
    </row>
    <row r="20" spans="1:21">
      <c r="A20" s="13">
        <v>1</v>
      </c>
      <c r="B20" s="13" t="s">
        <v>22</v>
      </c>
      <c r="C20" s="13" t="s">
        <v>23</v>
      </c>
      <c r="D20" s="13">
        <v>36</v>
      </c>
      <c r="E20" s="13" t="s">
        <v>24</v>
      </c>
      <c r="F20" s="14" t="s">
        <v>25</v>
      </c>
      <c r="G20" s="13">
        <v>115</v>
      </c>
      <c r="H20" s="13">
        <v>8</v>
      </c>
      <c r="I20" s="15">
        <v>200000</v>
      </c>
      <c r="J20" s="15">
        <v>70000</v>
      </c>
      <c r="K20" s="15">
        <v>32000</v>
      </c>
      <c r="L20" s="15">
        <v>68000</v>
      </c>
      <c r="M20" s="16">
        <f t="shared" si="0"/>
        <v>170000</v>
      </c>
      <c r="N20" s="16">
        <f t="shared" si="1"/>
        <v>70000</v>
      </c>
      <c r="O20" s="16">
        <f t="shared" si="2"/>
        <v>32000</v>
      </c>
      <c r="P20" s="18">
        <f t="shared" si="5"/>
        <v>56666.666666666664</v>
      </c>
      <c r="Q20" s="18">
        <f t="shared" si="3"/>
        <v>0.85</v>
      </c>
      <c r="R20" s="20" t="str">
        <f>IF(M20&gt;=75000,"achieved","Not Achieved")</f>
        <v>achieved</v>
      </c>
      <c r="S20" s="27" t="str">
        <f>IF(AND(G20&gt;=125,H20&gt;=7),"YES","NO")</f>
        <v>NO</v>
      </c>
      <c r="T20" s="20" t="str">
        <f t="shared" si="4"/>
        <v>YES</v>
      </c>
      <c r="U20" s="20" t="str">
        <f t="shared" si="6"/>
        <v>A++</v>
      </c>
    </row>
    <row r="21" spans="1:21">
      <c r="A21" s="13">
        <v>17</v>
      </c>
      <c r="B21" s="13" t="s">
        <v>59</v>
      </c>
      <c r="C21" s="13" t="s">
        <v>23</v>
      </c>
      <c r="D21" s="13">
        <v>40</v>
      </c>
      <c r="E21" s="13" t="s">
        <v>42</v>
      </c>
      <c r="F21" s="14" t="s">
        <v>60</v>
      </c>
      <c r="G21" s="13">
        <v>150</v>
      </c>
      <c r="H21" s="13">
        <v>4</v>
      </c>
      <c r="I21" s="15">
        <v>160000</v>
      </c>
      <c r="J21" s="15">
        <v>36000</v>
      </c>
      <c r="K21" s="15">
        <v>70000</v>
      </c>
      <c r="L21" s="15">
        <v>64000</v>
      </c>
      <c r="M21" s="16">
        <f t="shared" si="0"/>
        <v>170000</v>
      </c>
      <c r="N21" s="16">
        <f t="shared" si="1"/>
        <v>70000</v>
      </c>
      <c r="O21" s="16">
        <f t="shared" si="2"/>
        <v>36000</v>
      </c>
      <c r="P21" s="18">
        <f t="shared" si="5"/>
        <v>56666.666666666664</v>
      </c>
      <c r="Q21" s="18">
        <f t="shared" si="3"/>
        <v>1.0625</v>
      </c>
      <c r="R21" s="20" t="str">
        <f>IF(M21&gt;=75000,"Target Achieved","Achieved")</f>
        <v>Target Achieved</v>
      </c>
      <c r="S21" s="27" t="str">
        <f>IF(AND(G21&gt;=125,H21&gt;=7),"YES","NO")</f>
        <v>NO</v>
      </c>
      <c r="T21" s="20" t="str">
        <f t="shared" si="4"/>
        <v>NO</v>
      </c>
      <c r="U21" s="20" t="str">
        <f t="shared" si="6"/>
        <v>A+</v>
      </c>
    </row>
    <row r="22" spans="1:21">
      <c r="A22" s="13">
        <v>34</v>
      </c>
      <c r="B22" s="13" t="s">
        <v>92</v>
      </c>
      <c r="C22" s="13" t="s">
        <v>23</v>
      </c>
      <c r="D22" s="13">
        <v>39</v>
      </c>
      <c r="E22" s="13" t="s">
        <v>33</v>
      </c>
      <c r="F22" s="14" t="s">
        <v>93</v>
      </c>
      <c r="G22" s="13">
        <v>120</v>
      </c>
      <c r="H22" s="22"/>
      <c r="I22" s="15">
        <v>160000</v>
      </c>
      <c r="J22" s="15">
        <v>40000</v>
      </c>
      <c r="K22" s="15">
        <v>61000</v>
      </c>
      <c r="L22" s="15">
        <v>64000</v>
      </c>
      <c r="M22" s="16">
        <f t="shared" si="0"/>
        <v>165000</v>
      </c>
      <c r="N22" s="16">
        <f t="shared" si="1"/>
        <v>64000</v>
      </c>
      <c r="O22" s="16">
        <f t="shared" si="2"/>
        <v>40000</v>
      </c>
      <c r="P22" s="18">
        <f t="shared" si="5"/>
        <v>55000</v>
      </c>
      <c r="Q22" s="18">
        <f t="shared" si="3"/>
        <v>1.03125</v>
      </c>
      <c r="R22" s="20" t="str">
        <f>IF(M22&gt;=75000,"Target Achieved","Achieved")</f>
        <v>Target Achieved</v>
      </c>
      <c r="S22" s="27" t="str">
        <f>IF(AND(G21&gt;=125,H21&gt;=8),"YES","NO")</f>
        <v>NO</v>
      </c>
      <c r="T22" s="20" t="str">
        <f t="shared" si="4"/>
        <v>NO</v>
      </c>
      <c r="U22" s="20" t="str">
        <f t="shared" si="6"/>
        <v>A++</v>
      </c>
    </row>
    <row r="23" spans="1:21">
      <c r="A23" s="13">
        <v>7</v>
      </c>
      <c r="B23" s="13" t="s">
        <v>39</v>
      </c>
      <c r="C23" s="13" t="s">
        <v>23</v>
      </c>
      <c r="D23" s="22"/>
      <c r="E23" s="13" t="s">
        <v>24</v>
      </c>
      <c r="F23" s="14" t="s">
        <v>40</v>
      </c>
      <c r="G23" s="13">
        <v>139</v>
      </c>
      <c r="H23" s="13">
        <v>5</v>
      </c>
      <c r="I23" s="15">
        <v>180000</v>
      </c>
      <c r="J23" s="15">
        <v>60000</v>
      </c>
      <c r="K23" s="15">
        <v>66000</v>
      </c>
      <c r="L23" s="15">
        <v>38000</v>
      </c>
      <c r="M23" s="16">
        <f t="shared" si="0"/>
        <v>164000</v>
      </c>
      <c r="N23" s="16">
        <f t="shared" si="1"/>
        <v>66000</v>
      </c>
      <c r="O23" s="16">
        <f t="shared" si="2"/>
        <v>38000</v>
      </c>
      <c r="P23" s="18">
        <f t="shared" si="5"/>
        <v>54666.666666666664</v>
      </c>
      <c r="Q23" s="18">
        <f t="shared" si="3"/>
        <v>0.91111111111111109</v>
      </c>
      <c r="R23" s="20" t="str">
        <f>IF(M23&gt;=75000,"achieved","Not Achieved")</f>
        <v>achieved</v>
      </c>
      <c r="S23" s="27" t="str">
        <f>IF(AND(G23&gt;=125,H23&gt;=7),"YES","NO")</f>
        <v>NO</v>
      </c>
      <c r="T23" s="20" t="str">
        <f t="shared" si="4"/>
        <v>YES</v>
      </c>
      <c r="U23" s="20" t="str">
        <f t="shared" si="6"/>
        <v>A++</v>
      </c>
    </row>
    <row r="24" spans="1:21">
      <c r="A24" s="6">
        <v>40</v>
      </c>
      <c r="B24" s="6" t="s">
        <v>103</v>
      </c>
      <c r="C24" s="6" t="s">
        <v>30</v>
      </c>
      <c r="D24" s="6">
        <v>37</v>
      </c>
      <c r="E24" s="6" t="s">
        <v>24</v>
      </c>
      <c r="F24" s="7" t="s">
        <v>104</v>
      </c>
      <c r="G24" s="6">
        <v>149</v>
      </c>
      <c r="H24" s="6">
        <v>10</v>
      </c>
      <c r="I24" s="8">
        <v>140000</v>
      </c>
      <c r="J24" s="8">
        <v>58000</v>
      </c>
      <c r="K24" s="8">
        <v>57000</v>
      </c>
      <c r="L24" s="8">
        <v>46000</v>
      </c>
      <c r="M24" s="5">
        <f t="shared" si="0"/>
        <v>161000</v>
      </c>
      <c r="N24" s="5">
        <f t="shared" si="1"/>
        <v>58000</v>
      </c>
      <c r="O24" s="5">
        <f t="shared" si="2"/>
        <v>46000</v>
      </c>
      <c r="P24" s="18">
        <f t="shared" si="5"/>
        <v>53666.666666666664</v>
      </c>
      <c r="Q24" s="10">
        <f t="shared" si="3"/>
        <v>1.1499999999999999</v>
      </c>
      <c r="R24" s="20" t="str">
        <f>IF(M24&gt;=75000,"Target Achieved","Achieved")</f>
        <v>Target Achieved</v>
      </c>
      <c r="S24" s="27" t="str">
        <f>IF(AND(G24&gt;=125,H24&gt;=7),"YES","NO")</f>
        <v>YES</v>
      </c>
      <c r="T24" s="20" t="str">
        <f t="shared" si="4"/>
        <v>YES</v>
      </c>
      <c r="U24" s="20" t="str">
        <f t="shared" si="6"/>
        <v>A++</v>
      </c>
    </row>
    <row r="25" spans="1:21">
      <c r="A25" s="13">
        <v>15</v>
      </c>
      <c r="B25" s="13" t="s">
        <v>55</v>
      </c>
      <c r="C25" s="13" t="s">
        <v>30</v>
      </c>
      <c r="D25" s="13">
        <v>43</v>
      </c>
      <c r="E25" s="13" t="s">
        <v>33</v>
      </c>
      <c r="F25" s="14" t="s">
        <v>56</v>
      </c>
      <c r="G25" s="13">
        <v>118</v>
      </c>
      <c r="H25" s="13">
        <v>5</v>
      </c>
      <c r="I25" s="15">
        <v>160000</v>
      </c>
      <c r="J25" s="15">
        <v>52000</v>
      </c>
      <c r="K25" s="15">
        <v>32000</v>
      </c>
      <c r="L25" s="15">
        <v>75000</v>
      </c>
      <c r="M25" s="16">
        <f t="shared" si="0"/>
        <v>159000</v>
      </c>
      <c r="N25" s="16">
        <f t="shared" si="1"/>
        <v>75000</v>
      </c>
      <c r="O25" s="16">
        <f t="shared" si="2"/>
        <v>32000</v>
      </c>
      <c r="P25" s="18">
        <f t="shared" si="5"/>
        <v>53000</v>
      </c>
      <c r="Q25" s="18">
        <f t="shared" si="3"/>
        <v>0.99375000000000002</v>
      </c>
      <c r="R25" s="20" t="str">
        <f>IF(M25&gt;=75000,"achieved","Not Achieved")</f>
        <v>achieved</v>
      </c>
      <c r="S25" s="27" t="str">
        <f>IF(AND(G25&gt;=125,H25&gt;=7),"YES","NO")</f>
        <v>NO</v>
      </c>
      <c r="T25" s="20" t="str">
        <f t="shared" si="4"/>
        <v>YES</v>
      </c>
      <c r="U25" s="20" t="str">
        <f t="shared" si="6"/>
        <v>A++</v>
      </c>
    </row>
    <row r="26" spans="1:21">
      <c r="A26" s="13">
        <v>24</v>
      </c>
      <c r="B26" s="13" t="s">
        <v>73</v>
      </c>
      <c r="C26" s="13" t="s">
        <v>23</v>
      </c>
      <c r="D26" s="13">
        <v>29</v>
      </c>
      <c r="E26" s="13" t="s">
        <v>33</v>
      </c>
      <c r="F26" s="14" t="s">
        <v>74</v>
      </c>
      <c r="G26" s="13">
        <v>136</v>
      </c>
      <c r="H26" s="13">
        <v>8</v>
      </c>
      <c r="I26" s="15">
        <v>120000</v>
      </c>
      <c r="J26" s="15">
        <v>46000</v>
      </c>
      <c r="K26" s="15">
        <v>38000</v>
      </c>
      <c r="L26" s="15">
        <v>74000</v>
      </c>
      <c r="M26" s="16">
        <f t="shared" si="0"/>
        <v>158000</v>
      </c>
      <c r="N26" s="16">
        <f t="shared" si="1"/>
        <v>74000</v>
      </c>
      <c r="O26" s="16">
        <f t="shared" si="2"/>
        <v>38000</v>
      </c>
      <c r="P26" s="18">
        <f t="shared" si="5"/>
        <v>52666.666666666664</v>
      </c>
      <c r="Q26" s="18">
        <f t="shared" si="3"/>
        <v>1.3166666666666667</v>
      </c>
      <c r="R26" s="20" t="str">
        <f>IF(M26&gt;=75000,"Target Achieved","Achieved")</f>
        <v>Target Achieved</v>
      </c>
      <c r="S26" s="27" t="str">
        <f>IF(AND(G25&gt;=125,H25&gt;=8),"YES","NO")</f>
        <v>NO</v>
      </c>
      <c r="T26" s="20" t="str">
        <f t="shared" si="4"/>
        <v>NO</v>
      </c>
      <c r="U26" s="20" t="str">
        <f t="shared" si="6"/>
        <v>A++</v>
      </c>
    </row>
    <row r="27" spans="1:21">
      <c r="A27" s="13">
        <v>26</v>
      </c>
      <c r="B27" s="13" t="s">
        <v>77</v>
      </c>
      <c r="C27" s="13" t="s">
        <v>23</v>
      </c>
      <c r="D27" s="13">
        <v>42</v>
      </c>
      <c r="E27" s="13" t="s">
        <v>42</v>
      </c>
      <c r="F27" s="14" t="s">
        <v>78</v>
      </c>
      <c r="G27" s="13">
        <v>144</v>
      </c>
      <c r="H27" s="13">
        <v>8</v>
      </c>
      <c r="I27" s="15">
        <v>180000</v>
      </c>
      <c r="J27" s="15">
        <v>38000</v>
      </c>
      <c r="K27" s="15">
        <v>44000</v>
      </c>
      <c r="L27" s="15">
        <v>70000</v>
      </c>
      <c r="M27" s="16">
        <f t="shared" si="0"/>
        <v>152000</v>
      </c>
      <c r="N27" s="16">
        <f t="shared" si="1"/>
        <v>70000</v>
      </c>
      <c r="O27" s="16">
        <f t="shared" si="2"/>
        <v>38000</v>
      </c>
      <c r="P27" s="18">
        <f t="shared" si="5"/>
        <v>50666.666666666664</v>
      </c>
      <c r="Q27" s="18">
        <f t="shared" si="3"/>
        <v>0.84444444444444444</v>
      </c>
      <c r="R27" s="20" t="str">
        <f>IF(M27&gt;=75000,"Target Achieved","Achieved")</f>
        <v>Target Achieved</v>
      </c>
      <c r="S27" s="27" t="str">
        <f>IF(AND(G26&gt;=125,H26&gt;=8),"YES","NO")</f>
        <v>YES</v>
      </c>
      <c r="T27" s="20" t="str">
        <f t="shared" si="4"/>
        <v>NO</v>
      </c>
      <c r="U27" s="20" t="str">
        <f t="shared" si="6"/>
        <v>A++</v>
      </c>
    </row>
    <row r="28" spans="1:21">
      <c r="A28" s="13">
        <v>32</v>
      </c>
      <c r="B28" s="13" t="s">
        <v>88</v>
      </c>
      <c r="C28" s="13" t="s">
        <v>23</v>
      </c>
      <c r="D28" s="13">
        <v>25</v>
      </c>
      <c r="E28" s="13" t="s">
        <v>24</v>
      </c>
      <c r="F28" s="14" t="s">
        <v>89</v>
      </c>
      <c r="G28" s="13">
        <v>146</v>
      </c>
      <c r="H28" s="13">
        <v>5</v>
      </c>
      <c r="I28" s="15">
        <v>180000</v>
      </c>
      <c r="J28" s="15">
        <v>34000</v>
      </c>
      <c r="K28" s="15">
        <v>54000</v>
      </c>
      <c r="L28" s="15">
        <v>62000</v>
      </c>
      <c r="M28" s="16">
        <f t="shared" si="0"/>
        <v>150000</v>
      </c>
      <c r="N28" s="16">
        <f t="shared" si="1"/>
        <v>62000</v>
      </c>
      <c r="O28" s="16">
        <f t="shared" si="2"/>
        <v>34000</v>
      </c>
      <c r="P28" s="18">
        <f t="shared" si="5"/>
        <v>50000</v>
      </c>
      <c r="Q28" s="18">
        <f t="shared" si="3"/>
        <v>0.83333333333333337</v>
      </c>
      <c r="R28" s="20" t="str">
        <f>IF(M28&gt;=75000,"Target Achieved","Achieved")</f>
        <v>Target Achieved</v>
      </c>
      <c r="S28" s="27" t="str">
        <f>IF(AND(G27&gt;=125,H27&gt;=8),"YES","NO")</f>
        <v>YES</v>
      </c>
      <c r="T28" s="20" t="str">
        <f t="shared" si="4"/>
        <v>NO</v>
      </c>
      <c r="U28" s="20" t="str">
        <f t="shared" si="6"/>
        <v>A</v>
      </c>
    </row>
    <row r="29" spans="1:21">
      <c r="A29" s="13">
        <v>23</v>
      </c>
      <c r="B29" s="13" t="s">
        <v>71</v>
      </c>
      <c r="C29" s="13" t="s">
        <v>30</v>
      </c>
      <c r="D29" s="13">
        <v>25</v>
      </c>
      <c r="E29" s="13" t="s">
        <v>24</v>
      </c>
      <c r="F29" s="14" t="s">
        <v>72</v>
      </c>
      <c r="G29" s="13">
        <v>117</v>
      </c>
      <c r="H29" s="13">
        <v>7</v>
      </c>
      <c r="I29" s="15">
        <v>120000</v>
      </c>
      <c r="J29" s="15">
        <v>74000</v>
      </c>
      <c r="K29" s="15">
        <v>40000</v>
      </c>
      <c r="L29" s="15">
        <v>34000</v>
      </c>
      <c r="M29" s="16">
        <f t="shared" si="0"/>
        <v>148000</v>
      </c>
      <c r="N29" s="16">
        <f t="shared" si="1"/>
        <v>74000</v>
      </c>
      <c r="O29" s="16">
        <f t="shared" si="2"/>
        <v>34000</v>
      </c>
      <c r="P29" s="18">
        <f t="shared" si="5"/>
        <v>49333.333333333336</v>
      </c>
      <c r="Q29" s="18">
        <f t="shared" si="3"/>
        <v>1.2333333333333334</v>
      </c>
      <c r="R29" s="20" t="str">
        <f>IF(M29&gt;=75000,"Target Achieved","Achieved")</f>
        <v>Target Achieved</v>
      </c>
      <c r="S29" s="27" t="str">
        <f>IF(AND(G29&gt;=125,H29&gt;=7),"YES","NO")</f>
        <v>NO</v>
      </c>
      <c r="T29" s="20" t="str">
        <f t="shared" si="4"/>
        <v>NO</v>
      </c>
      <c r="U29" s="20" t="str">
        <f t="shared" si="6"/>
        <v>A</v>
      </c>
    </row>
    <row r="30" spans="1:21">
      <c r="A30" s="13">
        <v>6</v>
      </c>
      <c r="B30" s="13" t="s">
        <v>37</v>
      </c>
      <c r="C30" s="13" t="s">
        <v>30</v>
      </c>
      <c r="D30" s="13">
        <v>28</v>
      </c>
      <c r="E30" s="13" t="s">
        <v>33</v>
      </c>
      <c r="F30" s="14" t="s">
        <v>38</v>
      </c>
      <c r="G30" s="13">
        <v>116</v>
      </c>
      <c r="H30" s="13">
        <v>4</v>
      </c>
      <c r="I30" s="15">
        <v>140000</v>
      </c>
      <c r="J30" s="15">
        <v>43000</v>
      </c>
      <c r="K30" s="15">
        <v>58000</v>
      </c>
      <c r="L30" s="15">
        <v>46000</v>
      </c>
      <c r="M30" s="16">
        <f t="shared" si="0"/>
        <v>147000</v>
      </c>
      <c r="N30" s="16">
        <f t="shared" si="1"/>
        <v>58000</v>
      </c>
      <c r="O30" s="16">
        <f t="shared" si="2"/>
        <v>43000</v>
      </c>
      <c r="P30" s="18">
        <f t="shared" si="5"/>
        <v>49000</v>
      </c>
      <c r="Q30" s="18">
        <f t="shared" si="3"/>
        <v>1.05</v>
      </c>
      <c r="R30" s="20" t="str">
        <f>IF(M30&gt;=75000,"achieved","Not Achieved")</f>
        <v>achieved</v>
      </c>
      <c r="S30" s="27" t="str">
        <f>IF(AND(G29&gt;=125,H29&gt;=8),"YES","NO")</f>
        <v>NO</v>
      </c>
      <c r="T30" s="20" t="str">
        <f t="shared" si="4"/>
        <v>YES</v>
      </c>
      <c r="U30" s="20" t="str">
        <f t="shared" si="6"/>
        <v>A++</v>
      </c>
    </row>
    <row r="31" spans="1:21">
      <c r="A31" s="13">
        <v>16</v>
      </c>
      <c r="B31" s="13" t="s">
        <v>57</v>
      </c>
      <c r="C31" s="13" t="s">
        <v>23</v>
      </c>
      <c r="D31" s="13">
        <v>36</v>
      </c>
      <c r="E31" s="13" t="s">
        <v>42</v>
      </c>
      <c r="F31" s="14" t="s">
        <v>58</v>
      </c>
      <c r="G31" s="13">
        <v>130</v>
      </c>
      <c r="H31" s="13">
        <v>4</v>
      </c>
      <c r="I31" s="15">
        <v>120000</v>
      </c>
      <c r="J31" s="15">
        <v>47000</v>
      </c>
      <c r="K31" s="15">
        <v>68000</v>
      </c>
      <c r="L31" s="15">
        <v>32000</v>
      </c>
      <c r="M31" s="16">
        <f t="shared" si="0"/>
        <v>147000</v>
      </c>
      <c r="N31" s="16">
        <f t="shared" si="1"/>
        <v>68000</v>
      </c>
      <c r="O31" s="16">
        <f t="shared" si="2"/>
        <v>32000</v>
      </c>
      <c r="P31" s="18">
        <f t="shared" si="5"/>
        <v>49000</v>
      </c>
      <c r="Q31" s="18">
        <f t="shared" si="3"/>
        <v>1.2250000000000001</v>
      </c>
      <c r="R31" s="20" t="str">
        <f>IF(M31&gt;=75000,"achieved","Not Achieved")</f>
        <v>achieved</v>
      </c>
      <c r="S31" s="27" t="str">
        <f>IF(AND(G30&gt;=125,H30&gt;=8),"YES","NO")</f>
        <v>NO</v>
      </c>
      <c r="T31" s="20" t="str">
        <f t="shared" si="4"/>
        <v>YES</v>
      </c>
      <c r="U31" s="20" t="str">
        <f t="shared" si="6"/>
        <v>A++</v>
      </c>
    </row>
    <row r="32" spans="1:21">
      <c r="A32" s="13">
        <v>35</v>
      </c>
      <c r="B32" s="13" t="s">
        <v>94</v>
      </c>
      <c r="C32" s="13" t="s">
        <v>23</v>
      </c>
      <c r="D32" s="13">
        <v>31</v>
      </c>
      <c r="E32" s="13" t="s">
        <v>33</v>
      </c>
      <c r="F32" s="14" t="s">
        <v>95</v>
      </c>
      <c r="G32" s="13">
        <v>128</v>
      </c>
      <c r="H32" s="13">
        <v>4</v>
      </c>
      <c r="I32" s="15">
        <v>120000</v>
      </c>
      <c r="J32" s="15">
        <v>45000</v>
      </c>
      <c r="K32" s="15">
        <v>67000</v>
      </c>
      <c r="L32" s="15">
        <v>32000</v>
      </c>
      <c r="M32" s="16">
        <f t="shared" si="0"/>
        <v>144000</v>
      </c>
      <c r="N32" s="16">
        <f t="shared" si="1"/>
        <v>67000</v>
      </c>
      <c r="O32" s="16">
        <f t="shared" si="2"/>
        <v>32000</v>
      </c>
      <c r="P32" s="18">
        <f t="shared" si="5"/>
        <v>48000</v>
      </c>
      <c r="Q32" s="18">
        <f t="shared" si="3"/>
        <v>1.2</v>
      </c>
      <c r="R32" s="20" t="str">
        <f>IF(M32&gt;=75000,"Target Achieved","Achieved")</f>
        <v>Target Achieved</v>
      </c>
      <c r="S32" s="27" t="str">
        <f>IF(AND(G32&gt;=125,H32&gt;=7),"YES","NO")</f>
        <v>NO</v>
      </c>
      <c r="T32" s="20" t="str">
        <f t="shared" si="4"/>
        <v>NO</v>
      </c>
      <c r="U32" s="20" t="str">
        <f t="shared" si="6"/>
        <v>A++</v>
      </c>
    </row>
    <row r="33" spans="1:21">
      <c r="A33" s="13">
        <v>13</v>
      </c>
      <c r="B33" s="13" t="s">
        <v>51</v>
      </c>
      <c r="C33" s="13" t="s">
        <v>30</v>
      </c>
      <c r="D33" s="13">
        <v>24</v>
      </c>
      <c r="E33" s="13" t="s">
        <v>33</v>
      </c>
      <c r="F33" s="14" t="s">
        <v>52</v>
      </c>
      <c r="G33" s="13">
        <v>144</v>
      </c>
      <c r="H33" s="13">
        <v>4</v>
      </c>
      <c r="I33" s="15">
        <v>180000</v>
      </c>
      <c r="J33" s="15">
        <v>62000</v>
      </c>
      <c r="K33" s="15">
        <v>31000</v>
      </c>
      <c r="L33" s="15">
        <v>49000</v>
      </c>
      <c r="M33" s="16">
        <f t="shared" si="0"/>
        <v>142000</v>
      </c>
      <c r="N33" s="16">
        <f t="shared" si="1"/>
        <v>62000</v>
      </c>
      <c r="O33" s="16">
        <f t="shared" si="2"/>
        <v>31000</v>
      </c>
      <c r="P33" s="18">
        <f t="shared" si="5"/>
        <v>47333.333333333336</v>
      </c>
      <c r="Q33" s="18">
        <f t="shared" si="3"/>
        <v>0.78888888888888886</v>
      </c>
      <c r="R33" s="20" t="str">
        <f>IF(M33&gt;=75000,"achieved","Not Achieved")</f>
        <v>achieved</v>
      </c>
      <c r="S33" s="27" t="str">
        <f>IF(AND(G33&gt;=125,H33&gt;=7),"YES","NO")</f>
        <v>NO</v>
      </c>
      <c r="T33" s="20" t="str">
        <f t="shared" si="4"/>
        <v>YES</v>
      </c>
      <c r="U33" s="20" t="str">
        <f t="shared" si="6"/>
        <v>A++</v>
      </c>
    </row>
    <row r="34" spans="1:21">
      <c r="A34" s="13">
        <v>30</v>
      </c>
      <c r="B34" s="13" t="s">
        <v>84</v>
      </c>
      <c r="C34" s="13" t="s">
        <v>23</v>
      </c>
      <c r="D34" s="13">
        <v>33</v>
      </c>
      <c r="E34" s="13" t="s">
        <v>33</v>
      </c>
      <c r="F34" s="14" t="s">
        <v>85</v>
      </c>
      <c r="G34" s="13">
        <v>148</v>
      </c>
      <c r="H34" s="13">
        <v>5</v>
      </c>
      <c r="I34" s="15">
        <v>120000</v>
      </c>
      <c r="J34" s="15">
        <v>62000</v>
      </c>
      <c r="K34" s="15">
        <v>30000</v>
      </c>
      <c r="L34" s="15">
        <v>50000</v>
      </c>
      <c r="M34" s="16">
        <f t="shared" si="0"/>
        <v>142000</v>
      </c>
      <c r="N34" s="16">
        <f t="shared" si="1"/>
        <v>62000</v>
      </c>
      <c r="O34" s="16">
        <f t="shared" si="2"/>
        <v>30000</v>
      </c>
      <c r="P34" s="18">
        <f t="shared" si="5"/>
        <v>47333.333333333336</v>
      </c>
      <c r="Q34" s="18">
        <f t="shared" si="3"/>
        <v>1.1833333333333333</v>
      </c>
      <c r="R34" s="20" t="str">
        <f>IF(M34&gt;=75000,"Target Achieved","Achieved")</f>
        <v>Target Achieved</v>
      </c>
      <c r="S34" s="27" t="str">
        <f>IF(AND(G33&gt;=125,H33&gt;=8),"YES","NO")</f>
        <v>NO</v>
      </c>
      <c r="T34" s="20" t="str">
        <f t="shared" si="4"/>
        <v>NO</v>
      </c>
      <c r="U34" s="20" t="str">
        <f t="shared" si="6"/>
        <v>A</v>
      </c>
    </row>
    <row r="35" spans="1:21">
      <c r="A35" s="13">
        <v>20</v>
      </c>
      <c r="B35" s="13" t="s">
        <v>65</v>
      </c>
      <c r="C35" s="13" t="s">
        <v>30</v>
      </c>
      <c r="D35" s="13">
        <v>44</v>
      </c>
      <c r="E35" s="13" t="s">
        <v>24</v>
      </c>
      <c r="F35" s="14" t="s">
        <v>66</v>
      </c>
      <c r="G35" s="13">
        <v>132</v>
      </c>
      <c r="H35" s="22"/>
      <c r="I35" s="15">
        <v>120000</v>
      </c>
      <c r="J35" s="15">
        <v>32000</v>
      </c>
      <c r="K35" s="15">
        <v>58000</v>
      </c>
      <c r="L35" s="15">
        <v>51000</v>
      </c>
      <c r="M35" s="16">
        <f t="shared" si="0"/>
        <v>141000</v>
      </c>
      <c r="N35" s="16">
        <f t="shared" si="1"/>
        <v>58000</v>
      </c>
      <c r="O35" s="16">
        <f t="shared" si="2"/>
        <v>32000</v>
      </c>
      <c r="P35" s="18">
        <f t="shared" si="5"/>
        <v>47000</v>
      </c>
      <c r="Q35" s="18">
        <f t="shared" si="3"/>
        <v>1.175</v>
      </c>
      <c r="R35" s="20" t="str">
        <f>IF(M35&gt;=75000,"Target Achieved","Achieved")</f>
        <v>Target Achieved</v>
      </c>
      <c r="S35" s="27" t="str">
        <f>IF(AND(G34&gt;=125,H34&gt;=8),"YES","NO")</f>
        <v>NO</v>
      </c>
      <c r="T35" s="20" t="str">
        <f t="shared" si="4"/>
        <v>NO</v>
      </c>
      <c r="U35" s="20" t="str">
        <f t="shared" si="6"/>
        <v>A++</v>
      </c>
    </row>
    <row r="36" spans="1:21">
      <c r="A36" s="13">
        <v>31</v>
      </c>
      <c r="B36" s="13" t="s">
        <v>86</v>
      </c>
      <c r="C36" s="13" t="s">
        <v>23</v>
      </c>
      <c r="D36" s="13">
        <v>28</v>
      </c>
      <c r="E36" s="13" t="s">
        <v>33</v>
      </c>
      <c r="F36" s="14" t="s">
        <v>87</v>
      </c>
      <c r="G36" s="13">
        <v>137</v>
      </c>
      <c r="H36" s="13">
        <v>10</v>
      </c>
      <c r="I36" s="15">
        <v>140000</v>
      </c>
      <c r="J36" s="15">
        <v>55000</v>
      </c>
      <c r="K36" s="15">
        <v>43000</v>
      </c>
      <c r="L36" s="15">
        <v>41000</v>
      </c>
      <c r="M36" s="16">
        <f t="shared" si="0"/>
        <v>139000</v>
      </c>
      <c r="N36" s="16">
        <f t="shared" si="1"/>
        <v>55000</v>
      </c>
      <c r="O36" s="16">
        <f t="shared" si="2"/>
        <v>41000</v>
      </c>
      <c r="P36" s="18">
        <f t="shared" si="5"/>
        <v>46333.333333333336</v>
      </c>
      <c r="Q36" s="18">
        <f t="shared" si="3"/>
        <v>0.99285714285714288</v>
      </c>
      <c r="R36" s="20" t="str">
        <f>IF(M36&gt;=75000,"Target Achieved","Achieved")</f>
        <v>Target Achieved</v>
      </c>
      <c r="S36" s="27" t="str">
        <f>IF(AND(G36&gt;=125,H36&gt;=7),"YES","NO")</f>
        <v>YES</v>
      </c>
      <c r="T36" s="20" t="str">
        <f t="shared" si="4"/>
        <v>YES</v>
      </c>
      <c r="U36" s="20" t="str">
        <f t="shared" si="6"/>
        <v>A++</v>
      </c>
    </row>
    <row r="37" spans="1:21">
      <c r="A37" s="13">
        <v>3</v>
      </c>
      <c r="B37" s="13" t="s">
        <v>29</v>
      </c>
      <c r="C37" s="13" t="s">
        <v>30</v>
      </c>
      <c r="D37" s="13">
        <v>37</v>
      </c>
      <c r="E37" s="13" t="s">
        <v>24</v>
      </c>
      <c r="F37" s="14" t="s">
        <v>31</v>
      </c>
      <c r="G37" s="13">
        <v>142</v>
      </c>
      <c r="H37" s="13">
        <v>6</v>
      </c>
      <c r="I37" s="15">
        <v>120000</v>
      </c>
      <c r="J37" s="15">
        <v>34000</v>
      </c>
      <c r="K37" s="15">
        <v>66000</v>
      </c>
      <c r="L37" s="15">
        <v>36000</v>
      </c>
      <c r="M37" s="16">
        <f t="shared" si="0"/>
        <v>136000</v>
      </c>
      <c r="N37" s="16">
        <f t="shared" si="1"/>
        <v>66000</v>
      </c>
      <c r="O37" s="16">
        <f t="shared" si="2"/>
        <v>34000</v>
      </c>
      <c r="P37" s="18">
        <f t="shared" si="5"/>
        <v>45333.333333333336</v>
      </c>
      <c r="Q37" s="18">
        <f t="shared" si="3"/>
        <v>1.1333333333333333</v>
      </c>
      <c r="R37" s="20" t="str">
        <f>IF(M37&gt;=75000,"achieved","Not Achieved")</f>
        <v>achieved</v>
      </c>
      <c r="S37" s="27" t="str">
        <f>IF(AND(G37&gt;=125,H37&gt;=7),"YES","NO")</f>
        <v>NO</v>
      </c>
      <c r="T37" s="20" t="str">
        <f t="shared" si="4"/>
        <v>YES</v>
      </c>
      <c r="U37" s="20" t="str">
        <f t="shared" si="6"/>
        <v>A++</v>
      </c>
    </row>
    <row r="38" spans="1:21">
      <c r="A38" s="13">
        <v>5</v>
      </c>
      <c r="B38" s="13" t="s">
        <v>35</v>
      </c>
      <c r="C38" s="13" t="s">
        <v>23</v>
      </c>
      <c r="D38" s="13">
        <v>35</v>
      </c>
      <c r="E38" s="13" t="s">
        <v>24</v>
      </c>
      <c r="F38" s="14" t="s">
        <v>36</v>
      </c>
      <c r="G38" s="13">
        <v>122</v>
      </c>
      <c r="H38" s="13">
        <v>7</v>
      </c>
      <c r="I38" s="15">
        <v>180000</v>
      </c>
      <c r="J38" s="15">
        <v>42000</v>
      </c>
      <c r="K38" s="15">
        <v>38000</v>
      </c>
      <c r="L38" s="15">
        <v>56000</v>
      </c>
      <c r="M38" s="16">
        <f t="shared" si="0"/>
        <v>136000</v>
      </c>
      <c r="N38" s="16">
        <f t="shared" si="1"/>
        <v>56000</v>
      </c>
      <c r="O38" s="16">
        <f t="shared" si="2"/>
        <v>38000</v>
      </c>
      <c r="P38" s="18">
        <f t="shared" si="5"/>
        <v>45333.333333333336</v>
      </c>
      <c r="Q38" s="18">
        <f t="shared" si="3"/>
        <v>0.75555555555555554</v>
      </c>
      <c r="R38" s="20" t="str">
        <f>IF(M38&gt;=75000,"achieved","Not Achieved")</f>
        <v>achieved</v>
      </c>
      <c r="S38" s="27" t="str">
        <f>IF(AND(G38&gt;=125,H38&gt;=7),"YES","NO")</f>
        <v>NO</v>
      </c>
      <c r="T38" s="20" t="str">
        <f t="shared" si="4"/>
        <v>YES</v>
      </c>
      <c r="U38" s="20" t="str">
        <f t="shared" si="6"/>
        <v>A++</v>
      </c>
    </row>
    <row r="39" spans="1:21">
      <c r="A39" s="13">
        <v>36</v>
      </c>
      <c r="B39" s="13" t="s">
        <v>96</v>
      </c>
      <c r="C39" s="13" t="s">
        <v>23</v>
      </c>
      <c r="D39" s="13">
        <v>23</v>
      </c>
      <c r="E39" s="13" t="s">
        <v>27</v>
      </c>
      <c r="F39" s="14" t="s">
        <v>97</v>
      </c>
      <c r="G39" s="13">
        <v>125</v>
      </c>
      <c r="H39" s="13">
        <v>4</v>
      </c>
      <c r="I39" s="15">
        <v>180000</v>
      </c>
      <c r="J39" s="15">
        <v>36000</v>
      </c>
      <c r="K39" s="15">
        <v>59000</v>
      </c>
      <c r="L39" s="15">
        <v>39000</v>
      </c>
      <c r="M39" s="16">
        <f t="shared" si="0"/>
        <v>134000</v>
      </c>
      <c r="N39" s="16">
        <f t="shared" si="1"/>
        <v>59000</v>
      </c>
      <c r="O39" s="16">
        <f t="shared" si="2"/>
        <v>36000</v>
      </c>
      <c r="P39" s="18">
        <f t="shared" si="5"/>
        <v>44666.666666666664</v>
      </c>
      <c r="Q39" s="18">
        <f t="shared" si="3"/>
        <v>0.74444444444444446</v>
      </c>
      <c r="R39" s="20" t="str">
        <f>IF(M39&gt;=75000,"Target Achieved","Achieved")</f>
        <v>Target Achieved</v>
      </c>
      <c r="S39" s="27" t="str">
        <f>IF(AND(G38&gt;=125,H38&gt;=8),"YES","NO")</f>
        <v>NO</v>
      </c>
      <c r="T39" s="20" t="str">
        <f t="shared" si="4"/>
        <v>NO</v>
      </c>
      <c r="U39" s="20" t="str">
        <f t="shared" si="6"/>
        <v>A</v>
      </c>
    </row>
    <row r="40" spans="1:21">
      <c r="A40" s="13">
        <v>11</v>
      </c>
      <c r="B40" s="13" t="s">
        <v>26</v>
      </c>
      <c r="C40" s="13" t="s">
        <v>23</v>
      </c>
      <c r="D40" s="13">
        <v>44</v>
      </c>
      <c r="E40" s="13" t="s">
        <v>27</v>
      </c>
      <c r="F40" s="14" t="s">
        <v>48</v>
      </c>
      <c r="G40" s="13">
        <v>150</v>
      </c>
      <c r="H40" s="13">
        <v>4</v>
      </c>
      <c r="I40" s="15">
        <v>160000</v>
      </c>
      <c r="J40" s="15">
        <v>34000</v>
      </c>
      <c r="K40" s="15">
        <v>49000</v>
      </c>
      <c r="L40" s="15">
        <v>50000</v>
      </c>
      <c r="M40" s="16">
        <f t="shared" si="0"/>
        <v>133000</v>
      </c>
      <c r="N40" s="16">
        <f t="shared" si="1"/>
        <v>50000</v>
      </c>
      <c r="O40" s="16">
        <f t="shared" si="2"/>
        <v>34000</v>
      </c>
      <c r="P40" s="18">
        <f t="shared" si="5"/>
        <v>44333.333333333336</v>
      </c>
      <c r="Q40" s="18">
        <f t="shared" si="3"/>
        <v>0.83125000000000004</v>
      </c>
      <c r="R40" s="20" t="str">
        <f>IF(M40&gt;=75000,"achieved","Not Achieved")</f>
        <v>achieved</v>
      </c>
      <c r="S40" s="27" t="str">
        <f>IF(AND(G40&gt;=125,H40&gt;=7),"YES","NO")</f>
        <v>NO</v>
      </c>
      <c r="T40" s="20" t="str">
        <f t="shared" si="4"/>
        <v>YES</v>
      </c>
      <c r="U40" s="20" t="str">
        <f t="shared" si="6"/>
        <v>B</v>
      </c>
    </row>
    <row r="41" spans="1:21">
      <c r="A41" s="13">
        <v>28</v>
      </c>
      <c r="B41" s="13" t="s">
        <v>81</v>
      </c>
      <c r="C41" s="13" t="s">
        <v>23</v>
      </c>
      <c r="D41" s="22"/>
      <c r="E41" s="13" t="s">
        <v>24</v>
      </c>
      <c r="F41" s="14" t="s">
        <v>82</v>
      </c>
      <c r="G41" s="13">
        <v>114</v>
      </c>
      <c r="H41" s="13">
        <v>7</v>
      </c>
      <c r="I41" s="15">
        <v>120000</v>
      </c>
      <c r="J41" s="15">
        <v>31000</v>
      </c>
      <c r="K41" s="15">
        <v>32000</v>
      </c>
      <c r="L41" s="15">
        <v>65000</v>
      </c>
      <c r="M41" s="16">
        <f t="shared" si="0"/>
        <v>128000</v>
      </c>
      <c r="N41" s="16">
        <f t="shared" si="1"/>
        <v>65000</v>
      </c>
      <c r="O41" s="16">
        <f t="shared" si="2"/>
        <v>31000</v>
      </c>
      <c r="P41" s="18">
        <f t="shared" si="5"/>
        <v>42666.666666666664</v>
      </c>
      <c r="Q41" s="18">
        <f t="shared" si="3"/>
        <v>1.0666666666666667</v>
      </c>
      <c r="R41" s="20" t="str">
        <f>IF(M41&gt;=75000,"Target Achieved","Achieved")</f>
        <v>Target Achieved</v>
      </c>
      <c r="S41" s="27" t="str">
        <f>IF(AND(G40&gt;=125,H40&gt;=8),"YES","NO")</f>
        <v>NO</v>
      </c>
      <c r="T41" s="20" t="str">
        <f t="shared" si="4"/>
        <v>NO</v>
      </c>
      <c r="U41" s="20" t="str">
        <f t="shared" si="6"/>
        <v>A</v>
      </c>
    </row>
    <row r="42" spans="1:21">
      <c r="A42" s="13">
        <v>10</v>
      </c>
      <c r="B42" s="13" t="s">
        <v>46</v>
      </c>
      <c r="C42" s="13" t="s">
        <v>30</v>
      </c>
      <c r="D42" s="13">
        <v>22</v>
      </c>
      <c r="E42" s="13" t="s">
        <v>24</v>
      </c>
      <c r="F42" s="14" t="s">
        <v>47</v>
      </c>
      <c r="G42" s="13">
        <v>143</v>
      </c>
      <c r="H42" s="13">
        <v>8</v>
      </c>
      <c r="I42" s="15">
        <v>140000</v>
      </c>
      <c r="J42" s="15">
        <v>35000</v>
      </c>
      <c r="K42" s="15">
        <v>53000</v>
      </c>
      <c r="L42" s="15">
        <v>38000</v>
      </c>
      <c r="M42" s="16">
        <f t="shared" si="0"/>
        <v>126000</v>
      </c>
      <c r="N42" s="16">
        <f t="shared" si="1"/>
        <v>53000</v>
      </c>
      <c r="O42" s="16">
        <f t="shared" si="2"/>
        <v>35000</v>
      </c>
      <c r="P42" s="18">
        <f t="shared" si="5"/>
        <v>42000</v>
      </c>
      <c r="Q42" s="18">
        <f t="shared" si="3"/>
        <v>0.9</v>
      </c>
      <c r="R42" s="20" t="str">
        <f>IF(M42&gt;=75000,"achieved","Not Achieved")</f>
        <v>achieved</v>
      </c>
      <c r="S42" s="27" t="str">
        <f>IF(AND(G41&gt;=125,H41&gt;=8),"YES","NO")</f>
        <v>NO</v>
      </c>
      <c r="T42" s="20" t="str">
        <f t="shared" si="4"/>
        <v>YES</v>
      </c>
      <c r="U42" s="20" t="str">
        <f t="shared" si="6"/>
        <v>A++</v>
      </c>
    </row>
    <row r="43" spans="1:21">
      <c r="A43" s="13">
        <v>39</v>
      </c>
      <c r="B43" s="13" t="s">
        <v>101</v>
      </c>
      <c r="C43" s="13" t="s">
        <v>23</v>
      </c>
      <c r="D43" s="13">
        <v>29</v>
      </c>
      <c r="E43" s="13" t="s">
        <v>27</v>
      </c>
      <c r="F43" s="14" t="s">
        <v>102</v>
      </c>
      <c r="G43" s="13">
        <v>116</v>
      </c>
      <c r="H43" s="13">
        <v>5</v>
      </c>
      <c r="I43" s="15">
        <v>180000</v>
      </c>
      <c r="J43" s="15">
        <v>47000</v>
      </c>
      <c r="K43" s="15">
        <v>34000</v>
      </c>
      <c r="L43" s="15">
        <v>35000</v>
      </c>
      <c r="M43" s="16">
        <f t="shared" si="0"/>
        <v>116000</v>
      </c>
      <c r="N43" s="16">
        <f t="shared" si="1"/>
        <v>47000</v>
      </c>
      <c r="O43" s="16">
        <f t="shared" si="2"/>
        <v>34000</v>
      </c>
      <c r="P43" s="18">
        <f t="shared" si="5"/>
        <v>38666.666666666664</v>
      </c>
      <c r="Q43" s="18">
        <f t="shared" si="3"/>
        <v>0.64444444444444449</v>
      </c>
      <c r="R43" s="20" t="str">
        <f>IF(M43&gt;=75000,"Target Achieved","Achieved")</f>
        <v>Target Achieved</v>
      </c>
      <c r="S43" s="27" t="str">
        <f>IF(AND(G43&gt;=125,H43&gt;=7),"YES","NO")</f>
        <v>NO</v>
      </c>
      <c r="T43" s="20" t="str">
        <f t="shared" si="4"/>
        <v>NO</v>
      </c>
      <c r="U43" s="20" t="str">
        <f t="shared" si="6"/>
        <v>A++</v>
      </c>
    </row>
    <row r="44" spans="1:21">
      <c r="A44" s="28">
        <v>33</v>
      </c>
      <c r="B44" s="28" t="s">
        <v>90</v>
      </c>
      <c r="C44" s="28" t="s">
        <v>30</v>
      </c>
      <c r="D44" s="28">
        <v>34</v>
      </c>
      <c r="E44" s="28" t="s">
        <v>42</v>
      </c>
      <c r="F44" s="31" t="s">
        <v>91</v>
      </c>
      <c r="G44" s="28">
        <v>122</v>
      </c>
      <c r="H44" s="28">
        <v>9</v>
      </c>
      <c r="I44" s="32">
        <v>160000</v>
      </c>
      <c r="J44" s="32">
        <v>30000</v>
      </c>
      <c r="K44" s="32">
        <v>36000</v>
      </c>
      <c r="L44" s="32">
        <v>46000</v>
      </c>
      <c r="M44" s="33">
        <f t="shared" si="0"/>
        <v>112000</v>
      </c>
      <c r="N44" s="16">
        <f t="shared" si="1"/>
        <v>46000</v>
      </c>
      <c r="O44" s="16">
        <f t="shared" si="2"/>
        <v>30000</v>
      </c>
      <c r="P44" s="18">
        <f t="shared" si="5"/>
        <v>37333.333333333336</v>
      </c>
      <c r="Q44" s="18">
        <f t="shared" si="3"/>
        <v>0.7</v>
      </c>
      <c r="R44" s="20" t="str">
        <f>IF(M44&gt;=75000,"Target Achieved","Achieved")</f>
        <v>Target Achieved</v>
      </c>
      <c r="S44" s="27" t="str">
        <f>IF(AND(G44&gt;=125,H44&gt;=7),"YES","NO")</f>
        <v>NO</v>
      </c>
      <c r="T44" s="20" t="str">
        <f t="shared" si="4"/>
        <v>YES</v>
      </c>
      <c r="U44" s="20" t="str">
        <f t="shared" si="6"/>
        <v>B</v>
      </c>
    </row>
    <row r="45" spans="1:21">
      <c r="A45" s="28">
        <v>8</v>
      </c>
      <c r="B45" s="28" t="s">
        <v>41</v>
      </c>
      <c r="C45" s="28" t="s">
        <v>30</v>
      </c>
      <c r="D45" s="28">
        <v>31</v>
      </c>
      <c r="E45" s="28" t="s">
        <v>42</v>
      </c>
      <c r="F45" s="31" t="s">
        <v>43</v>
      </c>
      <c r="G45" s="28">
        <v>115</v>
      </c>
      <c r="H45" s="28">
        <v>7</v>
      </c>
      <c r="I45" s="32">
        <v>120000</v>
      </c>
      <c r="J45" s="32">
        <v>36000</v>
      </c>
      <c r="K45" s="32">
        <v>36000</v>
      </c>
      <c r="L45" s="32">
        <v>32000</v>
      </c>
      <c r="M45" s="33">
        <f t="shared" si="0"/>
        <v>104000</v>
      </c>
      <c r="N45" s="16">
        <f t="shared" si="1"/>
        <v>36000</v>
      </c>
      <c r="O45" s="16">
        <f t="shared" si="2"/>
        <v>32000</v>
      </c>
      <c r="P45" s="18">
        <f t="shared" si="5"/>
        <v>34666.666666666664</v>
      </c>
      <c r="Q45" s="18">
        <f t="shared" si="3"/>
        <v>0.8666666666666667</v>
      </c>
      <c r="R45" s="20" t="str">
        <f>IF(M45&gt;=75000,"achieved","Not Achieved")</f>
        <v>achieved</v>
      </c>
      <c r="S45" s="27" t="str">
        <f>IF(AND(G44&gt;=125,H44&gt;=8),"YES","NO")</f>
        <v>NO</v>
      </c>
      <c r="T45" s="20" t="str">
        <f t="shared" si="4"/>
        <v>YES</v>
      </c>
      <c r="U45" s="20" t="str">
        <f t="shared" si="6"/>
        <v>B</v>
      </c>
    </row>
    <row r="46" spans="1:2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3"/>
      <c r="O46" s="5">
        <f t="shared" si="2"/>
        <v>0</v>
      </c>
      <c r="P46" s="9"/>
      <c r="Q46" s="10" t="e">
        <f t="shared" si="3"/>
        <v>#DIV/0!</v>
      </c>
      <c r="R46" s="20" t="str">
        <f>IF(M46&gt;=75000,"Target Achieved","Achieved")</f>
        <v>Achieved</v>
      </c>
      <c r="S46" s="27"/>
      <c r="T46" s="20" t="str">
        <f t="shared" si="4"/>
        <v>YES</v>
      </c>
      <c r="U46" s="20" t="str">
        <f t="shared" si="6"/>
        <v>A+</v>
      </c>
    </row>
    <row r="47" spans="1:2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3"/>
      <c r="O47" s="5">
        <f t="shared" si="2"/>
        <v>0</v>
      </c>
      <c r="P47" s="9"/>
      <c r="Q47" s="10" t="e">
        <f t="shared" si="3"/>
        <v>#DIV/0!</v>
      </c>
      <c r="R47" s="20" t="str">
        <f>IF(M47&gt;=75000,"Target Achieved","Achieved")</f>
        <v>Achieved</v>
      </c>
      <c r="S47" s="27"/>
      <c r="T47" s="20" t="str">
        <f t="shared" si="4"/>
        <v>YES</v>
      </c>
      <c r="U47" s="20" t="e">
        <f t="shared" si="6"/>
        <v>#DIV/0!</v>
      </c>
    </row>
    <row r="48" spans="1:2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35"/>
      <c r="O48" s="36">
        <f t="shared" si="2"/>
        <v>0</v>
      </c>
      <c r="P48" s="37"/>
      <c r="Q48" s="38" t="e">
        <f t="shared" si="3"/>
        <v>#DIV/0!</v>
      </c>
      <c r="R48" s="39" t="str">
        <f>IF(M48&gt;=75000,"Target Achieved","Achieved")</f>
        <v>Achieved</v>
      </c>
      <c r="S48" s="40"/>
      <c r="T48" s="39" t="str">
        <f t="shared" si="4"/>
        <v>YES</v>
      </c>
      <c r="U48" s="20" t="e">
        <f t="shared" si="6"/>
        <v>#DIV/0!</v>
      </c>
    </row>
  </sheetData>
  <sortState ref="A5:U48">
    <sortCondition descending="1" ref="M5:M48"/>
  </sortState>
  <mergeCells count="1">
    <mergeCell ref="A1:L1"/>
  </mergeCells>
  <conditionalFormatting sqref="M6:M10">
    <cfRule type="colorScale" priority="3">
      <colorScale>
        <cfvo type="min" val="0"/>
        <cfvo type="max" val="0"/>
        <color rgb="FFFF7128"/>
        <color rgb="FFFFEF9C"/>
      </colorScale>
    </cfRule>
    <cfRule type="expression" dxfId="7" priority="2">
      <formula>$M6&gt;=2100000</formula>
    </cfRule>
    <cfRule type="expression" dxfId="6" priority="1">
      <formula>$M14=213000</formula>
    </cfRule>
  </conditionalFormatting>
  <dataValidations count="3">
    <dataValidation type="textLength" allowBlank="1" showInputMessage="1" showErrorMessage="1" sqref="F4:F43">
      <formula1>0</formula1>
      <formula2>10</formula2>
    </dataValidation>
    <dataValidation type="list" allowBlank="1" showInputMessage="1" showErrorMessage="1" sqref="E5:E45">
      <formula1>"Delhi,Lucknow,Mumbai"</formula1>
    </dataValidation>
    <dataValidation type="whole" showInputMessage="1" showErrorMessage="1" promptTitle="input messge" prompt="please enter 4 digit number" sqref="G4">
      <formula1>4</formula1>
      <formula2>6</formula2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A2" sqref="A2"/>
    </sheetView>
  </sheetViews>
  <sheetFormatPr defaultRowHeight="14.5"/>
  <cols>
    <col min="1" max="1" width="6" customWidth="1"/>
    <col min="2" max="2" width="22" customWidth="1"/>
    <col min="3" max="3" width="30" customWidth="1"/>
    <col min="4" max="4" width="70" customWidth="1"/>
  </cols>
  <sheetData>
    <row r="1" spans="1:4">
      <c r="A1" s="3" t="s">
        <v>105</v>
      </c>
      <c r="B1" s="3" t="s">
        <v>106</v>
      </c>
      <c r="C1" s="3" t="s">
        <v>107</v>
      </c>
      <c r="D1" s="3" t="s">
        <v>108</v>
      </c>
    </row>
    <row r="2" spans="1:4">
      <c r="A2" s="4">
        <v>1</v>
      </c>
      <c r="B2" s="4" t="s">
        <v>109</v>
      </c>
      <c r="C2" s="4" t="s">
        <v>110</v>
      </c>
      <c r="D2" s="4" t="s">
        <v>111</v>
      </c>
    </row>
    <row r="3" spans="1:4" ht="25">
      <c r="A3" s="4">
        <v>2</v>
      </c>
      <c r="B3" s="4" t="s">
        <v>112</v>
      </c>
      <c r="C3" s="4" t="s">
        <v>113</v>
      </c>
      <c r="D3" s="4" t="s">
        <v>114</v>
      </c>
    </row>
    <row r="4" spans="1:4">
      <c r="A4" s="4">
        <v>3</v>
      </c>
      <c r="B4" s="4" t="s">
        <v>6</v>
      </c>
      <c r="C4" s="4" t="s">
        <v>115</v>
      </c>
      <c r="D4" s="4" t="s">
        <v>116</v>
      </c>
    </row>
    <row r="5" spans="1:4">
      <c r="A5" s="4">
        <v>4</v>
      </c>
      <c r="B5" s="4" t="s">
        <v>117</v>
      </c>
      <c r="C5" s="4" t="s">
        <v>118</v>
      </c>
      <c r="D5" s="4" t="s">
        <v>119</v>
      </c>
    </row>
    <row r="6" spans="1:4">
      <c r="A6" s="4">
        <v>5</v>
      </c>
      <c r="B6" s="4" t="s">
        <v>13</v>
      </c>
      <c r="C6" s="4" t="s">
        <v>120</v>
      </c>
      <c r="D6" s="4" t="s">
        <v>121</v>
      </c>
    </row>
    <row r="7" spans="1:4">
      <c r="A7" s="4">
        <v>6</v>
      </c>
      <c r="B7" s="4" t="s">
        <v>122</v>
      </c>
      <c r="C7" s="4" t="s">
        <v>123</v>
      </c>
      <c r="D7" s="4" t="s">
        <v>124</v>
      </c>
    </row>
    <row r="8" spans="1:4">
      <c r="A8" s="4">
        <v>7</v>
      </c>
      <c r="B8" s="4" t="s">
        <v>16</v>
      </c>
      <c r="C8" s="4" t="s">
        <v>125</v>
      </c>
      <c r="D8" s="4" t="s">
        <v>126</v>
      </c>
    </row>
    <row r="9" spans="1:4">
      <c r="A9" s="4">
        <v>8</v>
      </c>
      <c r="B9" s="4" t="s">
        <v>17</v>
      </c>
      <c r="C9" s="4" t="s">
        <v>127</v>
      </c>
      <c r="D9" s="4" t="s">
        <v>128</v>
      </c>
    </row>
    <row r="10" spans="1:4">
      <c r="A10" s="4">
        <v>9</v>
      </c>
      <c r="B10" s="4" t="s">
        <v>18</v>
      </c>
      <c r="C10" s="4" t="s">
        <v>129</v>
      </c>
      <c r="D10" s="4" t="s">
        <v>130</v>
      </c>
    </row>
    <row r="11" spans="1:4">
      <c r="A11" s="4">
        <v>10</v>
      </c>
      <c r="B11" s="4" t="s">
        <v>19</v>
      </c>
      <c r="C11" s="4" t="s">
        <v>131</v>
      </c>
      <c r="D11" s="4" t="s">
        <v>132</v>
      </c>
    </row>
    <row r="12" spans="1:4">
      <c r="A12" s="4">
        <v>11</v>
      </c>
      <c r="B12" s="4" t="s">
        <v>20</v>
      </c>
      <c r="C12" s="4" t="s">
        <v>133</v>
      </c>
      <c r="D12" s="4" t="s">
        <v>134</v>
      </c>
    </row>
    <row r="13" spans="1:4">
      <c r="A13" s="4">
        <v>12</v>
      </c>
      <c r="B13" s="4" t="s">
        <v>21</v>
      </c>
      <c r="C13" s="4" t="s">
        <v>135</v>
      </c>
      <c r="D13" s="4" t="s">
        <v>136</v>
      </c>
    </row>
    <row r="14" spans="1:4">
      <c r="A14" s="4">
        <v>13</v>
      </c>
      <c r="B14" s="4" t="s">
        <v>137</v>
      </c>
      <c r="C14" s="4" t="s">
        <v>138</v>
      </c>
      <c r="D14" s="4" t="s">
        <v>139</v>
      </c>
    </row>
    <row r="15" spans="1:4">
      <c r="A15" s="4">
        <v>14</v>
      </c>
      <c r="B15" s="4" t="s">
        <v>140</v>
      </c>
      <c r="C15" s="4" t="s">
        <v>141</v>
      </c>
      <c r="D15" s="4" t="s">
        <v>142</v>
      </c>
    </row>
    <row r="16" spans="1:4">
      <c r="A16" s="4">
        <v>15</v>
      </c>
      <c r="B16" s="4" t="s">
        <v>143</v>
      </c>
      <c r="C16" s="4" t="s">
        <v>144</v>
      </c>
      <c r="D16" s="4" t="s">
        <v>145</v>
      </c>
    </row>
    <row r="17" spans="1:4" ht="25">
      <c r="A17" s="4">
        <v>16</v>
      </c>
      <c r="B17" s="4" t="s">
        <v>146</v>
      </c>
      <c r="C17" s="4" t="s">
        <v>147</v>
      </c>
      <c r="D17" s="4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A2" sqref="A2"/>
    </sheetView>
  </sheetViews>
  <sheetFormatPr defaultRowHeight="14.5"/>
  <cols>
    <col min="1" max="1" width="38" customWidth="1"/>
    <col min="2" max="2" width="22" customWidth="1"/>
  </cols>
  <sheetData>
    <row r="1" spans="1:2" ht="16.5">
      <c r="A1" s="1" t="s">
        <v>149</v>
      </c>
    </row>
    <row r="3" spans="1:2">
      <c r="A3" s="3" t="s">
        <v>150</v>
      </c>
    </row>
    <row r="4" spans="1:2">
      <c r="A4" s="2" t="s">
        <v>152</v>
      </c>
      <c r="B4" s="3" t="s">
        <v>151</v>
      </c>
    </row>
    <row r="5" spans="1:2">
      <c r="A5" s="2" t="s">
        <v>153</v>
      </c>
      <c r="B5" s="50">
        <v>6290000</v>
      </c>
    </row>
    <row r="6" spans="1:2">
      <c r="A6" s="2" t="s">
        <v>154</v>
      </c>
      <c r="B6" s="51">
        <v>213000</v>
      </c>
    </row>
    <row r="7" spans="1:2">
      <c r="A7" s="2" t="s">
        <v>155</v>
      </c>
      <c r="B7" s="50">
        <v>104000</v>
      </c>
    </row>
    <row r="8" spans="1:2">
      <c r="A8" s="2" t="s">
        <v>156</v>
      </c>
      <c r="B8" s="52">
        <f>AVERAGE(Sales_Data!M30:M45)</f>
        <v>132937.5</v>
      </c>
    </row>
    <row r="9" spans="1:2">
      <c r="A9" s="2" t="s">
        <v>157</v>
      </c>
      <c r="B9" s="49">
        <f>COUNTIF(Sales_Data!R5:R48,"Achieved")</f>
        <v>19</v>
      </c>
    </row>
    <row r="10" spans="1:2">
      <c r="B10" s="49">
        <f>COUNTIF(Sales_Data!S6:S45,"Yes")</f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selection sqref="A1:U45"/>
    </sheetView>
  </sheetViews>
  <sheetFormatPr defaultRowHeight="14.5"/>
  <sheetData>
    <row r="1" spans="1:21" ht="39">
      <c r="A1" s="24" t="s">
        <v>159</v>
      </c>
      <c r="B1" s="11" t="s">
        <v>2</v>
      </c>
      <c r="C1" s="11" t="s">
        <v>3</v>
      </c>
      <c r="D1" s="26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18</v>
      </c>
      <c r="S1" s="12" t="s">
        <v>19</v>
      </c>
      <c r="T1" s="12" t="s">
        <v>20</v>
      </c>
      <c r="U1" s="12" t="s">
        <v>21</v>
      </c>
    </row>
    <row r="2" spans="1:2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4"/>
      <c r="N2" s="34"/>
      <c r="O2" s="34"/>
      <c r="P2" s="30"/>
      <c r="Q2" s="30"/>
      <c r="R2" s="30"/>
      <c r="S2" s="30"/>
      <c r="T2" s="30"/>
      <c r="U2" s="30"/>
    </row>
    <row r="3" spans="1:21">
      <c r="A3" s="13">
        <v>38</v>
      </c>
      <c r="B3" s="13" t="s">
        <v>99</v>
      </c>
      <c r="C3" s="13" t="s">
        <v>23</v>
      </c>
      <c r="D3" s="13">
        <v>26</v>
      </c>
      <c r="E3" s="13" t="s">
        <v>27</v>
      </c>
      <c r="F3" s="14" t="s">
        <v>100</v>
      </c>
      <c r="G3" s="13">
        <v>127</v>
      </c>
      <c r="H3" s="13">
        <v>6</v>
      </c>
      <c r="I3" s="15">
        <v>180000</v>
      </c>
      <c r="J3" s="15">
        <v>73000</v>
      </c>
      <c r="K3" s="15">
        <v>66000</v>
      </c>
      <c r="L3" s="15">
        <v>74000</v>
      </c>
      <c r="M3" s="16">
        <f t="shared" ref="M3:M42" si="0">SUM(J3:L3)</f>
        <v>213000</v>
      </c>
      <c r="N3" s="16">
        <f t="shared" ref="N3:N42" si="1">MAX(J3:L3)</f>
        <v>74000</v>
      </c>
      <c r="O3" s="16">
        <f t="shared" ref="O3:O45" si="2">MIN(J3:L3)</f>
        <v>66000</v>
      </c>
      <c r="P3" s="17">
        <f t="shared" ref="P3:P45" si="3">M3/2</f>
        <v>106500</v>
      </c>
      <c r="Q3" s="18">
        <f t="shared" ref="Q3:Q45" si="4">M3/I3</f>
        <v>1.1833333333333333</v>
      </c>
      <c r="R3" s="20" t="str">
        <f>IF(M3&gt;=75000,"Target Achieved","Achieved")</f>
        <v>Target Achieved</v>
      </c>
      <c r="S3" s="27" t="str">
        <f>IF(AND(G2&gt;=125,H2&gt;=8),"YES","NO")</f>
        <v>NO</v>
      </c>
      <c r="T3" s="20" t="str">
        <f t="shared" ref="T3:T45" si="5">IF(OR(R3="achieved",H3&gt;=9),"YES","NO")</f>
        <v>NO</v>
      </c>
      <c r="U3" s="20" t="str">
        <f>IF(Q2&gt;=90%,"A++",IF(Q2&gt;=85%,"A+",IF(Q2&gt;=75%,"A","B")))</f>
        <v>B</v>
      </c>
    </row>
    <row r="4" spans="1:21">
      <c r="A4" s="13">
        <v>12</v>
      </c>
      <c r="B4" s="13" t="s">
        <v>49</v>
      </c>
      <c r="C4" s="13" t="s">
        <v>30</v>
      </c>
      <c r="D4" s="13">
        <v>39</v>
      </c>
      <c r="E4" s="13" t="s">
        <v>24</v>
      </c>
      <c r="F4" s="14" t="s">
        <v>50</v>
      </c>
      <c r="G4" s="13">
        <v>141</v>
      </c>
      <c r="H4" s="13">
        <v>8</v>
      </c>
      <c r="I4" s="15">
        <v>120000</v>
      </c>
      <c r="J4" s="15">
        <v>69000</v>
      </c>
      <c r="K4" s="15">
        <v>72000</v>
      </c>
      <c r="L4" s="15">
        <v>54000</v>
      </c>
      <c r="M4" s="16">
        <f t="shared" si="0"/>
        <v>195000</v>
      </c>
      <c r="N4" s="16">
        <f t="shared" si="1"/>
        <v>72000</v>
      </c>
      <c r="O4" s="16">
        <f t="shared" si="2"/>
        <v>54000</v>
      </c>
      <c r="P4" s="17">
        <f t="shared" si="3"/>
        <v>97500</v>
      </c>
      <c r="Q4" s="18">
        <f t="shared" si="4"/>
        <v>1.625</v>
      </c>
      <c r="R4" s="20" t="str">
        <f>IF(M4&gt;=75000,"achieved","Not Achieved")</f>
        <v>achieved</v>
      </c>
      <c r="S4" s="27" t="str">
        <f>IF(AND(G3&gt;=125,H3&gt;=8),"YES","NO")</f>
        <v>NO</v>
      </c>
      <c r="T4" s="20" t="str">
        <f t="shared" si="5"/>
        <v>YES</v>
      </c>
      <c r="U4" s="20" t="str">
        <f t="shared" ref="U4:U45" si="6">IF(Q3&gt;=90%,"A++",IF(Q3&gt;=85%,"A+",IF(Q3&gt;=75%,"A","B")))</f>
        <v>A++</v>
      </c>
    </row>
    <row r="5" spans="1:21">
      <c r="A5" s="13">
        <v>18</v>
      </c>
      <c r="B5" s="13" t="s">
        <v>61</v>
      </c>
      <c r="C5" s="13" t="s">
        <v>30</v>
      </c>
      <c r="D5" s="13">
        <v>28</v>
      </c>
      <c r="E5" s="13" t="s">
        <v>27</v>
      </c>
      <c r="F5" s="14" t="s">
        <v>62</v>
      </c>
      <c r="G5" s="13">
        <v>132</v>
      </c>
      <c r="H5" s="13">
        <v>8</v>
      </c>
      <c r="I5" s="15">
        <v>200000</v>
      </c>
      <c r="J5" s="15">
        <v>63000</v>
      </c>
      <c r="K5" s="15">
        <v>62000</v>
      </c>
      <c r="L5" s="15">
        <v>69000</v>
      </c>
      <c r="M5" s="16">
        <f t="shared" si="0"/>
        <v>194000</v>
      </c>
      <c r="N5" s="16">
        <f t="shared" si="1"/>
        <v>69000</v>
      </c>
      <c r="O5" s="16">
        <f t="shared" si="2"/>
        <v>62000</v>
      </c>
      <c r="P5" s="17">
        <f t="shared" si="3"/>
        <v>97000</v>
      </c>
      <c r="Q5" s="18">
        <f t="shared" si="4"/>
        <v>0.97</v>
      </c>
      <c r="R5" s="20" t="str">
        <f>IF(M5&gt;=75000,"Target Achieved","Achieved")</f>
        <v>Target Achieved</v>
      </c>
      <c r="S5" s="27" t="str">
        <f>IF(AND(G4&gt;=125,H4&gt;=8),"YES","NO")</f>
        <v>YES</v>
      </c>
      <c r="T5" s="20" t="str">
        <f t="shared" si="5"/>
        <v>NO</v>
      </c>
      <c r="U5" s="20" t="str">
        <f t="shared" si="6"/>
        <v>A++</v>
      </c>
    </row>
    <row r="6" spans="1:21">
      <c r="A6" s="13">
        <v>21</v>
      </c>
      <c r="B6" s="13" t="s">
        <v>67</v>
      </c>
      <c r="C6" s="13" t="s">
        <v>23</v>
      </c>
      <c r="D6" s="13">
        <v>28</v>
      </c>
      <c r="E6" s="13" t="s">
        <v>33</v>
      </c>
      <c r="F6" s="14" t="s">
        <v>68</v>
      </c>
      <c r="G6" s="13">
        <v>143</v>
      </c>
      <c r="H6" s="13">
        <v>10</v>
      </c>
      <c r="I6" s="15">
        <v>200000</v>
      </c>
      <c r="J6" s="15">
        <v>74000</v>
      </c>
      <c r="K6" s="15">
        <v>58000</v>
      </c>
      <c r="L6" s="15">
        <v>61000</v>
      </c>
      <c r="M6" s="16">
        <f t="shared" si="0"/>
        <v>193000</v>
      </c>
      <c r="N6" s="16">
        <f t="shared" si="1"/>
        <v>74000</v>
      </c>
      <c r="O6" s="16">
        <f t="shared" si="2"/>
        <v>58000</v>
      </c>
      <c r="P6" s="17">
        <f t="shared" si="3"/>
        <v>96500</v>
      </c>
      <c r="Q6" s="18">
        <f t="shared" si="4"/>
        <v>0.96499999999999997</v>
      </c>
      <c r="R6" s="20" t="str">
        <f>IF(M6&gt;=75000,"Target Achieved","Achieved")</f>
        <v>Target Achieved</v>
      </c>
      <c r="S6" s="27" t="str">
        <f>IF(AND(G6&gt;=125,H6&gt;=7),"YES","NO")</f>
        <v>YES</v>
      </c>
      <c r="T6" s="20" t="str">
        <f t="shared" si="5"/>
        <v>YES</v>
      </c>
      <c r="U6" s="20" t="str">
        <f t="shared" si="6"/>
        <v>A++</v>
      </c>
    </row>
    <row r="7" spans="1:21">
      <c r="A7" s="13">
        <v>25</v>
      </c>
      <c r="B7" s="13" t="s">
        <v>75</v>
      </c>
      <c r="C7" s="13" t="s">
        <v>30</v>
      </c>
      <c r="D7" s="13">
        <v>29</v>
      </c>
      <c r="E7" s="13" t="s">
        <v>27</v>
      </c>
      <c r="F7" s="14" t="s">
        <v>76</v>
      </c>
      <c r="G7" s="13">
        <v>117</v>
      </c>
      <c r="H7" s="13">
        <v>10</v>
      </c>
      <c r="I7" s="15">
        <v>180000</v>
      </c>
      <c r="J7" s="15">
        <v>69000</v>
      </c>
      <c r="K7" s="15">
        <v>46000</v>
      </c>
      <c r="L7" s="15">
        <v>75000</v>
      </c>
      <c r="M7" s="16">
        <f t="shared" si="0"/>
        <v>190000</v>
      </c>
      <c r="N7" s="16">
        <f t="shared" si="1"/>
        <v>75000</v>
      </c>
      <c r="O7" s="16">
        <f t="shared" si="2"/>
        <v>46000</v>
      </c>
      <c r="P7" s="17">
        <f t="shared" si="3"/>
        <v>95000</v>
      </c>
      <c r="Q7" s="18">
        <f t="shared" si="4"/>
        <v>1.0555555555555556</v>
      </c>
      <c r="R7" s="20" t="str">
        <f>IF(M7&gt;=75000,"Target Achieved","Achieved")</f>
        <v>Target Achieved</v>
      </c>
      <c r="S7" s="27" t="str">
        <f>IF(AND(G7&gt;=125,H7&gt;=7),"YES","NO")</f>
        <v>NO</v>
      </c>
      <c r="T7" s="20" t="str">
        <f t="shared" si="5"/>
        <v>YES</v>
      </c>
      <c r="U7" s="20" t="str">
        <f t="shared" si="6"/>
        <v>A++</v>
      </c>
    </row>
    <row r="8" spans="1:21">
      <c r="A8" s="13">
        <v>14</v>
      </c>
      <c r="B8" s="13" t="s">
        <v>53</v>
      </c>
      <c r="C8" s="13" t="s">
        <v>23</v>
      </c>
      <c r="D8" s="13">
        <v>44</v>
      </c>
      <c r="E8" s="13" t="s">
        <v>24</v>
      </c>
      <c r="F8" s="14" t="s">
        <v>54</v>
      </c>
      <c r="G8" s="13">
        <v>122</v>
      </c>
      <c r="H8" s="13">
        <v>8</v>
      </c>
      <c r="I8" s="15">
        <v>140000</v>
      </c>
      <c r="J8" s="15">
        <v>51000</v>
      </c>
      <c r="K8" s="15">
        <v>72000</v>
      </c>
      <c r="L8" s="15">
        <v>58000</v>
      </c>
      <c r="M8" s="16">
        <f t="shared" si="0"/>
        <v>181000</v>
      </c>
      <c r="N8" s="16">
        <f t="shared" si="1"/>
        <v>72000</v>
      </c>
      <c r="O8" s="16">
        <f t="shared" si="2"/>
        <v>51000</v>
      </c>
      <c r="P8" s="17">
        <f t="shared" si="3"/>
        <v>90500</v>
      </c>
      <c r="Q8" s="18">
        <f t="shared" si="4"/>
        <v>1.2928571428571429</v>
      </c>
      <c r="R8" s="20" t="str">
        <f>IF(M8&gt;=75000,"achieved","Not Achieved")</f>
        <v>achieved</v>
      </c>
      <c r="S8" s="27" t="str">
        <f>IF(AND(G7&gt;=125,H7&gt;=8),"YES","NO")</f>
        <v>NO</v>
      </c>
      <c r="T8" s="20" t="str">
        <f t="shared" si="5"/>
        <v>YES</v>
      </c>
      <c r="U8" s="20" t="str">
        <f t="shared" si="6"/>
        <v>A++</v>
      </c>
    </row>
    <row r="9" spans="1:21">
      <c r="A9" s="13">
        <v>19</v>
      </c>
      <c r="B9" s="13" t="s">
        <v>63</v>
      </c>
      <c r="C9" s="13" t="s">
        <v>23</v>
      </c>
      <c r="D9" s="13">
        <v>24</v>
      </c>
      <c r="E9" s="13" t="s">
        <v>27</v>
      </c>
      <c r="F9" s="14" t="s">
        <v>64</v>
      </c>
      <c r="G9" s="13">
        <v>142</v>
      </c>
      <c r="H9" s="13">
        <v>10</v>
      </c>
      <c r="I9" s="15">
        <v>150000</v>
      </c>
      <c r="J9" s="15">
        <v>59000</v>
      </c>
      <c r="K9" s="15">
        <v>50000</v>
      </c>
      <c r="L9" s="15">
        <v>71000</v>
      </c>
      <c r="M9" s="16">
        <f t="shared" si="0"/>
        <v>180000</v>
      </c>
      <c r="N9" s="16">
        <f t="shared" si="1"/>
        <v>71000</v>
      </c>
      <c r="O9" s="16">
        <f t="shared" si="2"/>
        <v>50000</v>
      </c>
      <c r="P9" s="17">
        <f t="shared" si="3"/>
        <v>90000</v>
      </c>
      <c r="Q9" s="18">
        <f t="shared" si="4"/>
        <v>1.2</v>
      </c>
      <c r="R9" s="20" t="str">
        <f>IF(M9&gt;=75000,"Target Achieved","Achieved")</f>
        <v>Target Achieved</v>
      </c>
      <c r="S9" s="27" t="str">
        <f>IF(AND(G9&gt;=125,H9&gt;=7),"YES","NO")</f>
        <v>YES</v>
      </c>
      <c r="T9" s="20" t="str">
        <f t="shared" si="5"/>
        <v>YES</v>
      </c>
      <c r="U9" s="20" t="str">
        <f t="shared" si="6"/>
        <v>A++</v>
      </c>
    </row>
    <row r="10" spans="1:21">
      <c r="A10" s="13">
        <v>29</v>
      </c>
      <c r="B10" s="13" t="s">
        <v>75</v>
      </c>
      <c r="C10" s="13" t="s">
        <v>30</v>
      </c>
      <c r="D10" s="13">
        <v>25</v>
      </c>
      <c r="E10" s="13" t="s">
        <v>42</v>
      </c>
      <c r="F10" s="14" t="s">
        <v>83</v>
      </c>
      <c r="G10" s="13">
        <v>116</v>
      </c>
      <c r="H10" s="13">
        <v>6</v>
      </c>
      <c r="I10" s="15">
        <v>160000</v>
      </c>
      <c r="J10" s="15">
        <v>59000</v>
      </c>
      <c r="K10" s="15">
        <v>57000</v>
      </c>
      <c r="L10" s="15">
        <v>62000</v>
      </c>
      <c r="M10" s="16">
        <f t="shared" si="0"/>
        <v>178000</v>
      </c>
      <c r="N10" s="16">
        <f t="shared" si="1"/>
        <v>62000</v>
      </c>
      <c r="O10" s="16">
        <f t="shared" si="2"/>
        <v>57000</v>
      </c>
      <c r="P10" s="17">
        <f t="shared" si="3"/>
        <v>89000</v>
      </c>
      <c r="Q10" s="18">
        <f t="shared" si="4"/>
        <v>1.1125</v>
      </c>
      <c r="R10" s="20" t="str">
        <f>IF(M10&gt;=75000,"Target Achieved","Achieved")</f>
        <v>Target Achieved</v>
      </c>
      <c r="S10" s="27" t="str">
        <f>IF(AND(G10&gt;=125,H10&gt;=7),"YES","NO")</f>
        <v>NO</v>
      </c>
      <c r="T10" s="20" t="str">
        <f t="shared" si="5"/>
        <v>NO</v>
      </c>
      <c r="U10" s="20" t="str">
        <f t="shared" si="6"/>
        <v>A++</v>
      </c>
    </row>
    <row r="11" spans="1:21">
      <c r="A11" s="13">
        <v>27</v>
      </c>
      <c r="B11" s="13" t="s">
        <v>79</v>
      </c>
      <c r="C11" s="13" t="s">
        <v>30</v>
      </c>
      <c r="D11" s="13">
        <v>32</v>
      </c>
      <c r="E11" s="13" t="s">
        <v>27</v>
      </c>
      <c r="F11" s="14" t="s">
        <v>80</v>
      </c>
      <c r="G11" s="13">
        <v>116</v>
      </c>
      <c r="H11" s="13">
        <v>7</v>
      </c>
      <c r="I11" s="15">
        <v>160000</v>
      </c>
      <c r="J11" s="15">
        <v>64000</v>
      </c>
      <c r="K11" s="15">
        <v>75000</v>
      </c>
      <c r="L11" s="15">
        <v>38000</v>
      </c>
      <c r="M11" s="16">
        <f t="shared" si="0"/>
        <v>177000</v>
      </c>
      <c r="N11" s="16">
        <f t="shared" si="1"/>
        <v>75000</v>
      </c>
      <c r="O11" s="16">
        <f t="shared" si="2"/>
        <v>38000</v>
      </c>
      <c r="P11" s="17">
        <f t="shared" si="3"/>
        <v>88500</v>
      </c>
      <c r="Q11" s="18">
        <f t="shared" si="4"/>
        <v>1.10625</v>
      </c>
      <c r="R11" s="20" t="str">
        <f>IF(M11&gt;=75000,"Target Achieved","Achieved")</f>
        <v>Target Achieved</v>
      </c>
      <c r="S11" s="27" t="str">
        <f>IF(AND(G11&gt;=125,H11&gt;=7),"YES","NO")</f>
        <v>NO</v>
      </c>
      <c r="T11" s="20" t="str">
        <f t="shared" si="5"/>
        <v>NO</v>
      </c>
      <c r="U11" s="20" t="str">
        <f t="shared" si="6"/>
        <v>A++</v>
      </c>
    </row>
    <row r="12" spans="1:21">
      <c r="A12" s="13">
        <v>2</v>
      </c>
      <c r="B12" s="13" t="s">
        <v>26</v>
      </c>
      <c r="C12" s="13" t="s">
        <v>23</v>
      </c>
      <c r="D12" s="13">
        <v>41</v>
      </c>
      <c r="E12" s="13" t="s">
        <v>27</v>
      </c>
      <c r="F12" s="14" t="s">
        <v>28</v>
      </c>
      <c r="G12" s="13">
        <v>111</v>
      </c>
      <c r="H12" s="13">
        <v>10</v>
      </c>
      <c r="I12" s="15">
        <v>160000</v>
      </c>
      <c r="J12" s="15">
        <v>50000</v>
      </c>
      <c r="K12" s="15">
        <v>58000</v>
      </c>
      <c r="L12" s="15">
        <v>67000</v>
      </c>
      <c r="M12" s="16">
        <f t="shared" si="0"/>
        <v>175000</v>
      </c>
      <c r="N12" s="16">
        <f t="shared" si="1"/>
        <v>67000</v>
      </c>
      <c r="O12" s="16">
        <f t="shared" si="2"/>
        <v>50000</v>
      </c>
      <c r="P12" s="17">
        <f t="shared" si="3"/>
        <v>87500</v>
      </c>
      <c r="Q12" s="18">
        <f t="shared" si="4"/>
        <v>1.09375</v>
      </c>
      <c r="R12" s="20" t="str">
        <f>IF(M12&gt;=75000,"achieved","Not Achieved")</f>
        <v>achieved</v>
      </c>
      <c r="S12" s="27" t="str">
        <f>IF(AND(G11&gt;=125,H11&gt;=8),"YES","NO")</f>
        <v>NO</v>
      </c>
      <c r="T12" s="20" t="str">
        <f t="shared" si="5"/>
        <v>YES</v>
      </c>
      <c r="U12" s="20" t="str">
        <f t="shared" si="6"/>
        <v>A++</v>
      </c>
    </row>
    <row r="13" spans="1:21">
      <c r="A13" s="13">
        <v>22</v>
      </c>
      <c r="B13" s="13" t="s">
        <v>69</v>
      </c>
      <c r="C13" s="13" t="s">
        <v>30</v>
      </c>
      <c r="D13" s="13">
        <v>39</v>
      </c>
      <c r="E13" s="13" t="s">
        <v>24</v>
      </c>
      <c r="F13" s="14" t="s">
        <v>70</v>
      </c>
      <c r="G13" s="13">
        <v>123</v>
      </c>
      <c r="H13" s="13">
        <v>6</v>
      </c>
      <c r="I13" s="15">
        <v>140000</v>
      </c>
      <c r="J13" s="15">
        <v>64000</v>
      </c>
      <c r="K13" s="15">
        <v>63000</v>
      </c>
      <c r="L13" s="15">
        <v>47000</v>
      </c>
      <c r="M13" s="16">
        <f t="shared" si="0"/>
        <v>174000</v>
      </c>
      <c r="N13" s="16">
        <f t="shared" si="1"/>
        <v>64000</v>
      </c>
      <c r="O13" s="16">
        <f t="shared" si="2"/>
        <v>47000</v>
      </c>
      <c r="P13" s="17">
        <f t="shared" si="3"/>
        <v>87000</v>
      </c>
      <c r="Q13" s="18">
        <f t="shared" si="4"/>
        <v>1.2428571428571429</v>
      </c>
      <c r="R13" s="20" t="str">
        <f>IF(M13&gt;=75000,"Target Achieved","Achieved")</f>
        <v>Target Achieved</v>
      </c>
      <c r="S13" s="27" t="str">
        <f>IF(AND(G12&gt;=125,H12&gt;=8),"YES","NO")</f>
        <v>NO</v>
      </c>
      <c r="T13" s="20" t="str">
        <f t="shared" si="5"/>
        <v>NO</v>
      </c>
      <c r="U13" s="20" t="str">
        <f t="shared" si="6"/>
        <v>A++</v>
      </c>
    </row>
    <row r="14" spans="1:21">
      <c r="A14" s="13">
        <v>37</v>
      </c>
      <c r="B14" s="13" t="s">
        <v>98</v>
      </c>
      <c r="C14" s="13" t="s">
        <v>30</v>
      </c>
      <c r="D14" s="13">
        <v>35</v>
      </c>
      <c r="E14" s="13" t="s">
        <v>24</v>
      </c>
      <c r="F14" s="14" t="s">
        <v>158</v>
      </c>
      <c r="G14" s="13">
        <v>118</v>
      </c>
      <c r="H14" s="13">
        <v>9</v>
      </c>
      <c r="I14" s="15">
        <v>160000</v>
      </c>
      <c r="J14" s="15">
        <v>59000</v>
      </c>
      <c r="K14" s="15">
        <v>68000</v>
      </c>
      <c r="L14" s="15">
        <v>46000</v>
      </c>
      <c r="M14" s="16">
        <f t="shared" si="0"/>
        <v>173000</v>
      </c>
      <c r="N14" s="16">
        <f t="shared" si="1"/>
        <v>68000</v>
      </c>
      <c r="O14" s="16">
        <f t="shared" si="2"/>
        <v>46000</v>
      </c>
      <c r="P14" s="17">
        <f t="shared" si="3"/>
        <v>86500</v>
      </c>
      <c r="Q14" s="18">
        <f t="shared" si="4"/>
        <v>1.08125</v>
      </c>
      <c r="R14" s="20" t="str">
        <f>IF(M14&gt;=75000,"Target Achieved","Achieved")</f>
        <v>Target Achieved</v>
      </c>
      <c r="S14" s="27" t="str">
        <f>IF(AND(G14&gt;=125,H14&gt;=7),"YES","NO")</f>
        <v>NO</v>
      </c>
      <c r="T14" s="20" t="str">
        <f t="shared" si="5"/>
        <v>YES</v>
      </c>
      <c r="U14" s="20" t="str">
        <f t="shared" si="6"/>
        <v>A++</v>
      </c>
    </row>
    <row r="15" spans="1:21">
      <c r="A15" s="13">
        <v>9</v>
      </c>
      <c r="B15" s="13" t="s">
        <v>44</v>
      </c>
      <c r="C15" s="13" t="s">
        <v>30</v>
      </c>
      <c r="D15" s="13">
        <v>34</v>
      </c>
      <c r="E15" s="13" t="s">
        <v>42</v>
      </c>
      <c r="F15" s="14" t="s">
        <v>45</v>
      </c>
      <c r="G15" s="13">
        <v>140</v>
      </c>
      <c r="H15" s="13">
        <v>8</v>
      </c>
      <c r="I15" s="15">
        <v>200000</v>
      </c>
      <c r="J15" s="15">
        <v>69000</v>
      </c>
      <c r="K15" s="15">
        <v>69000</v>
      </c>
      <c r="L15" s="15">
        <v>34000</v>
      </c>
      <c r="M15" s="16">
        <f t="shared" si="0"/>
        <v>172000</v>
      </c>
      <c r="N15" s="16">
        <f t="shared" si="1"/>
        <v>69000</v>
      </c>
      <c r="O15" s="16">
        <f t="shared" si="2"/>
        <v>34000</v>
      </c>
      <c r="P15" s="17">
        <f t="shared" si="3"/>
        <v>86000</v>
      </c>
      <c r="Q15" s="18">
        <f t="shared" si="4"/>
        <v>0.86</v>
      </c>
      <c r="R15" s="20" t="str">
        <f>IF(M15&gt;=75000,"achieved","Not Achieved")</f>
        <v>achieved</v>
      </c>
      <c r="S15" s="27" t="str">
        <f>IF(AND(G15&gt;=125,H15&gt;=7),"YES","NO")</f>
        <v>YES</v>
      </c>
      <c r="T15" s="20" t="str">
        <f t="shared" si="5"/>
        <v>YES</v>
      </c>
      <c r="U15" s="20" t="str">
        <f t="shared" si="6"/>
        <v>A++</v>
      </c>
    </row>
    <row r="16" spans="1:21">
      <c r="A16" s="13">
        <v>4</v>
      </c>
      <c r="B16" s="13" t="s">
        <v>32</v>
      </c>
      <c r="C16" s="13" t="s">
        <v>30</v>
      </c>
      <c r="D16" s="13">
        <v>24</v>
      </c>
      <c r="E16" s="13" t="s">
        <v>33</v>
      </c>
      <c r="F16" s="14" t="s">
        <v>34</v>
      </c>
      <c r="G16" s="13">
        <v>146</v>
      </c>
      <c r="H16" s="13">
        <v>9</v>
      </c>
      <c r="I16" s="15">
        <v>140000</v>
      </c>
      <c r="J16" s="15">
        <v>73000</v>
      </c>
      <c r="K16" s="15">
        <v>47000</v>
      </c>
      <c r="L16" s="15">
        <v>51000</v>
      </c>
      <c r="M16" s="16">
        <f t="shared" si="0"/>
        <v>171000</v>
      </c>
      <c r="N16" s="16">
        <f t="shared" si="1"/>
        <v>73000</v>
      </c>
      <c r="O16" s="16">
        <f t="shared" si="2"/>
        <v>47000</v>
      </c>
      <c r="P16" s="17">
        <f t="shared" si="3"/>
        <v>85500</v>
      </c>
      <c r="Q16" s="18">
        <f t="shared" si="4"/>
        <v>1.2214285714285715</v>
      </c>
      <c r="R16" s="20" t="str">
        <f>IF(M16&gt;=75000,"achieved","Not Achieved")</f>
        <v>achieved</v>
      </c>
      <c r="S16" s="27" t="str">
        <f>IF(AND(G15&gt;=125,H15&gt;=8),"YES","NO")</f>
        <v>YES</v>
      </c>
      <c r="T16" s="20" t="str">
        <f t="shared" si="5"/>
        <v>YES</v>
      </c>
      <c r="U16" s="20" t="str">
        <f t="shared" si="6"/>
        <v>A+</v>
      </c>
    </row>
    <row r="17" spans="1:21">
      <c r="A17" s="13">
        <v>1</v>
      </c>
      <c r="B17" s="13" t="s">
        <v>22</v>
      </c>
      <c r="C17" s="13" t="s">
        <v>23</v>
      </c>
      <c r="D17" s="13">
        <v>36</v>
      </c>
      <c r="E17" s="13" t="s">
        <v>24</v>
      </c>
      <c r="F17" s="14" t="s">
        <v>25</v>
      </c>
      <c r="G17" s="13">
        <v>115</v>
      </c>
      <c r="H17" s="13">
        <v>8</v>
      </c>
      <c r="I17" s="15">
        <v>200000</v>
      </c>
      <c r="J17" s="15">
        <v>70000</v>
      </c>
      <c r="K17" s="15">
        <v>32000</v>
      </c>
      <c r="L17" s="15">
        <v>68000</v>
      </c>
      <c r="M17" s="16">
        <f t="shared" si="0"/>
        <v>170000</v>
      </c>
      <c r="N17" s="16">
        <f t="shared" si="1"/>
        <v>70000</v>
      </c>
      <c r="O17" s="16">
        <f t="shared" si="2"/>
        <v>32000</v>
      </c>
      <c r="P17" s="17">
        <f t="shared" si="3"/>
        <v>85000</v>
      </c>
      <c r="Q17" s="18">
        <f t="shared" si="4"/>
        <v>0.85</v>
      </c>
      <c r="R17" s="20" t="str">
        <f>IF(M17&gt;=75000,"achieved","Not Achieved")</f>
        <v>achieved</v>
      </c>
      <c r="S17" s="27" t="str">
        <f>IF(AND(G17&gt;=125,H17&gt;=7),"YES","NO")</f>
        <v>NO</v>
      </c>
      <c r="T17" s="20" t="str">
        <f t="shared" si="5"/>
        <v>YES</v>
      </c>
      <c r="U17" s="20" t="str">
        <f t="shared" si="6"/>
        <v>A++</v>
      </c>
    </row>
    <row r="18" spans="1:21">
      <c r="A18" s="13">
        <v>17</v>
      </c>
      <c r="B18" s="13" t="s">
        <v>59</v>
      </c>
      <c r="C18" s="13" t="s">
        <v>23</v>
      </c>
      <c r="D18" s="13">
        <v>40</v>
      </c>
      <c r="E18" s="13" t="s">
        <v>42</v>
      </c>
      <c r="F18" s="14" t="s">
        <v>60</v>
      </c>
      <c r="G18" s="13">
        <v>150</v>
      </c>
      <c r="H18" s="13">
        <v>4</v>
      </c>
      <c r="I18" s="15">
        <v>160000</v>
      </c>
      <c r="J18" s="15">
        <v>36000</v>
      </c>
      <c r="K18" s="15">
        <v>70000</v>
      </c>
      <c r="L18" s="15">
        <v>64000</v>
      </c>
      <c r="M18" s="16">
        <f t="shared" si="0"/>
        <v>170000</v>
      </c>
      <c r="N18" s="16">
        <f t="shared" si="1"/>
        <v>70000</v>
      </c>
      <c r="O18" s="16">
        <f t="shared" si="2"/>
        <v>36000</v>
      </c>
      <c r="P18" s="17">
        <f t="shared" si="3"/>
        <v>85000</v>
      </c>
      <c r="Q18" s="18">
        <f t="shared" si="4"/>
        <v>1.0625</v>
      </c>
      <c r="R18" s="20" t="str">
        <f>IF(M18&gt;=75000,"Target Achieved","Achieved")</f>
        <v>Target Achieved</v>
      </c>
      <c r="S18" s="27" t="str">
        <f>IF(AND(G18&gt;=125,H18&gt;=7),"YES","NO")</f>
        <v>NO</v>
      </c>
      <c r="T18" s="20" t="str">
        <f t="shared" si="5"/>
        <v>NO</v>
      </c>
      <c r="U18" s="20" t="str">
        <f t="shared" si="6"/>
        <v>A+</v>
      </c>
    </row>
    <row r="19" spans="1:21">
      <c r="A19" s="13">
        <v>34</v>
      </c>
      <c r="B19" s="13" t="s">
        <v>92</v>
      </c>
      <c r="C19" s="13" t="s">
        <v>23</v>
      </c>
      <c r="D19" s="13">
        <v>39</v>
      </c>
      <c r="E19" s="13" t="s">
        <v>33</v>
      </c>
      <c r="F19" s="14" t="s">
        <v>93</v>
      </c>
      <c r="G19" s="13">
        <v>120</v>
      </c>
      <c r="H19" s="22"/>
      <c r="I19" s="15">
        <v>160000</v>
      </c>
      <c r="J19" s="15">
        <v>40000</v>
      </c>
      <c r="K19" s="15">
        <v>61000</v>
      </c>
      <c r="L19" s="15">
        <v>64000</v>
      </c>
      <c r="M19" s="16">
        <f t="shared" si="0"/>
        <v>165000</v>
      </c>
      <c r="N19" s="16">
        <f t="shared" si="1"/>
        <v>64000</v>
      </c>
      <c r="O19" s="16">
        <f t="shared" si="2"/>
        <v>40000</v>
      </c>
      <c r="P19" s="17">
        <f t="shared" si="3"/>
        <v>82500</v>
      </c>
      <c r="Q19" s="18">
        <f t="shared" si="4"/>
        <v>1.03125</v>
      </c>
      <c r="R19" s="20" t="str">
        <f>IF(M19&gt;=75000,"Target Achieved","Achieved")</f>
        <v>Target Achieved</v>
      </c>
      <c r="S19" s="27" t="str">
        <f>IF(AND(G18&gt;=125,H18&gt;=8),"YES","NO")</f>
        <v>NO</v>
      </c>
      <c r="T19" s="20" t="str">
        <f t="shared" si="5"/>
        <v>NO</v>
      </c>
      <c r="U19" s="20" t="str">
        <f t="shared" si="6"/>
        <v>A++</v>
      </c>
    </row>
    <row r="20" spans="1:21">
      <c r="A20" s="13">
        <v>7</v>
      </c>
      <c r="B20" s="13" t="s">
        <v>39</v>
      </c>
      <c r="C20" s="13" t="s">
        <v>23</v>
      </c>
      <c r="D20" s="22"/>
      <c r="E20" s="13" t="s">
        <v>24</v>
      </c>
      <c r="F20" s="14" t="s">
        <v>40</v>
      </c>
      <c r="G20" s="13">
        <v>139</v>
      </c>
      <c r="H20" s="13">
        <v>5</v>
      </c>
      <c r="I20" s="15">
        <v>180000</v>
      </c>
      <c r="J20" s="15">
        <v>60000</v>
      </c>
      <c r="K20" s="15">
        <v>66000</v>
      </c>
      <c r="L20" s="15">
        <v>38000</v>
      </c>
      <c r="M20" s="16">
        <f t="shared" si="0"/>
        <v>164000</v>
      </c>
      <c r="N20" s="16">
        <f t="shared" si="1"/>
        <v>66000</v>
      </c>
      <c r="O20" s="16">
        <f t="shared" si="2"/>
        <v>38000</v>
      </c>
      <c r="P20" s="17">
        <f t="shared" si="3"/>
        <v>82000</v>
      </c>
      <c r="Q20" s="18">
        <f t="shared" si="4"/>
        <v>0.91111111111111109</v>
      </c>
      <c r="R20" s="20" t="str">
        <f>IF(M20&gt;=75000,"achieved","Not Achieved")</f>
        <v>achieved</v>
      </c>
      <c r="S20" s="27" t="str">
        <f>IF(AND(G20&gt;=125,H20&gt;=7),"YES","NO")</f>
        <v>NO</v>
      </c>
      <c r="T20" s="20" t="str">
        <f t="shared" si="5"/>
        <v>YES</v>
      </c>
      <c r="U20" s="20" t="str">
        <f t="shared" si="6"/>
        <v>A++</v>
      </c>
    </row>
    <row r="21" spans="1:21">
      <c r="A21" s="6">
        <v>40</v>
      </c>
      <c r="B21" s="6" t="s">
        <v>103</v>
      </c>
      <c r="C21" s="6" t="s">
        <v>30</v>
      </c>
      <c r="D21" s="6">
        <v>37</v>
      </c>
      <c r="E21" s="6" t="s">
        <v>24</v>
      </c>
      <c r="F21" s="7" t="s">
        <v>104</v>
      </c>
      <c r="G21" s="6">
        <v>149</v>
      </c>
      <c r="H21" s="6">
        <v>10</v>
      </c>
      <c r="I21" s="8">
        <v>140000</v>
      </c>
      <c r="J21" s="8">
        <v>58000</v>
      </c>
      <c r="K21" s="8">
        <v>57000</v>
      </c>
      <c r="L21" s="8">
        <v>46000</v>
      </c>
      <c r="M21" s="5">
        <f t="shared" si="0"/>
        <v>161000</v>
      </c>
      <c r="N21" s="5">
        <f t="shared" si="1"/>
        <v>58000</v>
      </c>
      <c r="O21" s="5">
        <f t="shared" si="2"/>
        <v>46000</v>
      </c>
      <c r="P21" s="9">
        <f t="shared" si="3"/>
        <v>80500</v>
      </c>
      <c r="Q21" s="10">
        <f t="shared" si="4"/>
        <v>1.1499999999999999</v>
      </c>
      <c r="R21" s="20" t="str">
        <f>IF(M21&gt;=75000,"Target Achieved","Achieved")</f>
        <v>Target Achieved</v>
      </c>
      <c r="S21" s="27" t="str">
        <f>IF(AND(G21&gt;=125,H21&gt;=7),"YES","NO")</f>
        <v>YES</v>
      </c>
      <c r="T21" s="20" t="str">
        <f t="shared" si="5"/>
        <v>YES</v>
      </c>
      <c r="U21" s="20" t="str">
        <f t="shared" si="6"/>
        <v>A++</v>
      </c>
    </row>
    <row r="22" spans="1:21">
      <c r="A22" s="13">
        <v>15</v>
      </c>
      <c r="B22" s="13" t="s">
        <v>55</v>
      </c>
      <c r="C22" s="13" t="s">
        <v>30</v>
      </c>
      <c r="D22" s="13">
        <v>43</v>
      </c>
      <c r="E22" s="13" t="s">
        <v>33</v>
      </c>
      <c r="F22" s="14" t="s">
        <v>56</v>
      </c>
      <c r="G22" s="13">
        <v>118</v>
      </c>
      <c r="H22" s="13">
        <v>5</v>
      </c>
      <c r="I22" s="15">
        <v>160000</v>
      </c>
      <c r="J22" s="15">
        <v>52000</v>
      </c>
      <c r="K22" s="15">
        <v>32000</v>
      </c>
      <c r="L22" s="15">
        <v>75000</v>
      </c>
      <c r="M22" s="16">
        <f t="shared" si="0"/>
        <v>159000</v>
      </c>
      <c r="N22" s="16">
        <f t="shared" si="1"/>
        <v>75000</v>
      </c>
      <c r="O22" s="16">
        <f t="shared" si="2"/>
        <v>32000</v>
      </c>
      <c r="P22" s="17">
        <f t="shared" si="3"/>
        <v>79500</v>
      </c>
      <c r="Q22" s="18">
        <f t="shared" si="4"/>
        <v>0.99375000000000002</v>
      </c>
      <c r="R22" s="20" t="str">
        <f>IF(M22&gt;=75000,"achieved","Not Achieved")</f>
        <v>achieved</v>
      </c>
      <c r="S22" s="27" t="str">
        <f>IF(AND(G22&gt;=125,H22&gt;=7),"YES","NO")</f>
        <v>NO</v>
      </c>
      <c r="T22" s="20" t="str">
        <f t="shared" si="5"/>
        <v>YES</v>
      </c>
      <c r="U22" s="20" t="str">
        <f t="shared" si="6"/>
        <v>A++</v>
      </c>
    </row>
    <row r="23" spans="1:21">
      <c r="A23" s="13">
        <v>24</v>
      </c>
      <c r="B23" s="13" t="s">
        <v>73</v>
      </c>
      <c r="C23" s="13" t="s">
        <v>23</v>
      </c>
      <c r="D23" s="13">
        <v>29</v>
      </c>
      <c r="E23" s="13" t="s">
        <v>33</v>
      </c>
      <c r="F23" s="14" t="s">
        <v>74</v>
      </c>
      <c r="G23" s="13">
        <v>136</v>
      </c>
      <c r="H23" s="13">
        <v>8</v>
      </c>
      <c r="I23" s="15">
        <v>120000</v>
      </c>
      <c r="J23" s="15">
        <v>46000</v>
      </c>
      <c r="K23" s="15">
        <v>38000</v>
      </c>
      <c r="L23" s="15">
        <v>74000</v>
      </c>
      <c r="M23" s="16">
        <f t="shared" si="0"/>
        <v>158000</v>
      </c>
      <c r="N23" s="16">
        <f t="shared" si="1"/>
        <v>74000</v>
      </c>
      <c r="O23" s="16">
        <f t="shared" si="2"/>
        <v>38000</v>
      </c>
      <c r="P23" s="17">
        <f t="shared" si="3"/>
        <v>79000</v>
      </c>
      <c r="Q23" s="18">
        <f t="shared" si="4"/>
        <v>1.3166666666666667</v>
      </c>
      <c r="R23" s="20" t="str">
        <f>IF(M23&gt;=75000,"Target Achieved","Achieved")</f>
        <v>Target Achieved</v>
      </c>
      <c r="S23" s="27" t="str">
        <f>IF(AND(G22&gt;=125,H22&gt;=8),"YES","NO")</f>
        <v>NO</v>
      </c>
      <c r="T23" s="20" t="str">
        <f t="shared" si="5"/>
        <v>NO</v>
      </c>
      <c r="U23" s="20" t="str">
        <f t="shared" si="6"/>
        <v>A++</v>
      </c>
    </row>
    <row r="24" spans="1:21">
      <c r="A24" s="13">
        <v>26</v>
      </c>
      <c r="B24" s="13" t="s">
        <v>77</v>
      </c>
      <c r="C24" s="13" t="s">
        <v>23</v>
      </c>
      <c r="D24" s="13">
        <v>42</v>
      </c>
      <c r="E24" s="13" t="s">
        <v>42</v>
      </c>
      <c r="F24" s="14" t="s">
        <v>78</v>
      </c>
      <c r="G24" s="13">
        <v>144</v>
      </c>
      <c r="H24" s="13">
        <v>8</v>
      </c>
      <c r="I24" s="15">
        <v>180000</v>
      </c>
      <c r="J24" s="15">
        <v>38000</v>
      </c>
      <c r="K24" s="15">
        <v>44000</v>
      </c>
      <c r="L24" s="15">
        <v>70000</v>
      </c>
      <c r="M24" s="16">
        <f t="shared" si="0"/>
        <v>152000</v>
      </c>
      <c r="N24" s="16">
        <f t="shared" si="1"/>
        <v>70000</v>
      </c>
      <c r="O24" s="16">
        <f t="shared" si="2"/>
        <v>38000</v>
      </c>
      <c r="P24" s="17">
        <f t="shared" si="3"/>
        <v>76000</v>
      </c>
      <c r="Q24" s="18">
        <f t="shared" si="4"/>
        <v>0.84444444444444444</v>
      </c>
      <c r="R24" s="20" t="str">
        <f>IF(M24&gt;=75000,"Target Achieved","Achieved")</f>
        <v>Target Achieved</v>
      </c>
      <c r="S24" s="27" t="str">
        <f>IF(AND(G23&gt;=125,H23&gt;=8),"YES","NO")</f>
        <v>YES</v>
      </c>
      <c r="T24" s="20" t="str">
        <f t="shared" si="5"/>
        <v>NO</v>
      </c>
      <c r="U24" s="20" t="str">
        <f t="shared" si="6"/>
        <v>A++</v>
      </c>
    </row>
    <row r="25" spans="1:21">
      <c r="A25" s="13">
        <v>32</v>
      </c>
      <c r="B25" s="13" t="s">
        <v>88</v>
      </c>
      <c r="C25" s="13" t="s">
        <v>23</v>
      </c>
      <c r="D25" s="13">
        <v>25</v>
      </c>
      <c r="E25" s="13" t="s">
        <v>24</v>
      </c>
      <c r="F25" s="14" t="s">
        <v>89</v>
      </c>
      <c r="G25" s="13">
        <v>146</v>
      </c>
      <c r="H25" s="13">
        <v>5</v>
      </c>
      <c r="I25" s="15">
        <v>180000</v>
      </c>
      <c r="J25" s="15">
        <v>34000</v>
      </c>
      <c r="K25" s="15">
        <v>54000</v>
      </c>
      <c r="L25" s="15">
        <v>62000</v>
      </c>
      <c r="M25" s="16">
        <f t="shared" si="0"/>
        <v>150000</v>
      </c>
      <c r="N25" s="16">
        <f t="shared" si="1"/>
        <v>62000</v>
      </c>
      <c r="O25" s="16">
        <f t="shared" si="2"/>
        <v>34000</v>
      </c>
      <c r="P25" s="17">
        <f t="shared" si="3"/>
        <v>75000</v>
      </c>
      <c r="Q25" s="18">
        <f t="shared" si="4"/>
        <v>0.83333333333333337</v>
      </c>
      <c r="R25" s="20" t="str">
        <f>IF(M25&gt;=75000,"Target Achieved","Achieved")</f>
        <v>Target Achieved</v>
      </c>
      <c r="S25" s="27" t="str">
        <f>IF(AND(G24&gt;=125,H24&gt;=8),"YES","NO")</f>
        <v>YES</v>
      </c>
      <c r="T25" s="20" t="str">
        <f t="shared" si="5"/>
        <v>NO</v>
      </c>
      <c r="U25" s="20" t="str">
        <f t="shared" si="6"/>
        <v>A</v>
      </c>
    </row>
    <row r="26" spans="1:21">
      <c r="A26" s="13">
        <v>23</v>
      </c>
      <c r="B26" s="13" t="s">
        <v>71</v>
      </c>
      <c r="C26" s="13" t="s">
        <v>30</v>
      </c>
      <c r="D26" s="13">
        <v>25</v>
      </c>
      <c r="E26" s="13" t="s">
        <v>24</v>
      </c>
      <c r="F26" s="14" t="s">
        <v>72</v>
      </c>
      <c r="G26" s="13">
        <v>117</v>
      </c>
      <c r="H26" s="13">
        <v>7</v>
      </c>
      <c r="I26" s="15">
        <v>120000</v>
      </c>
      <c r="J26" s="15">
        <v>74000</v>
      </c>
      <c r="K26" s="15">
        <v>40000</v>
      </c>
      <c r="L26" s="15">
        <v>34000</v>
      </c>
      <c r="M26" s="16">
        <f t="shared" si="0"/>
        <v>148000</v>
      </c>
      <c r="N26" s="16">
        <f t="shared" si="1"/>
        <v>74000</v>
      </c>
      <c r="O26" s="16">
        <f t="shared" si="2"/>
        <v>34000</v>
      </c>
      <c r="P26" s="17">
        <f t="shared" si="3"/>
        <v>74000</v>
      </c>
      <c r="Q26" s="18">
        <f t="shared" si="4"/>
        <v>1.2333333333333334</v>
      </c>
      <c r="R26" s="20" t="str">
        <f>IF(M26&gt;=75000,"Target Achieved","Achieved")</f>
        <v>Target Achieved</v>
      </c>
      <c r="S26" s="27" t="str">
        <f>IF(AND(G26&gt;=125,H26&gt;=7),"YES","NO")</f>
        <v>NO</v>
      </c>
      <c r="T26" s="20" t="str">
        <f t="shared" si="5"/>
        <v>NO</v>
      </c>
      <c r="U26" s="20" t="str">
        <f t="shared" si="6"/>
        <v>A</v>
      </c>
    </row>
    <row r="27" spans="1:21">
      <c r="A27" s="13">
        <v>6</v>
      </c>
      <c r="B27" s="13" t="s">
        <v>37</v>
      </c>
      <c r="C27" s="13" t="s">
        <v>30</v>
      </c>
      <c r="D27" s="13">
        <v>28</v>
      </c>
      <c r="E27" s="13" t="s">
        <v>33</v>
      </c>
      <c r="F27" s="14" t="s">
        <v>38</v>
      </c>
      <c r="G27" s="13">
        <v>116</v>
      </c>
      <c r="H27" s="13">
        <v>4</v>
      </c>
      <c r="I27" s="15">
        <v>140000</v>
      </c>
      <c r="J27" s="15">
        <v>43000</v>
      </c>
      <c r="K27" s="15">
        <v>58000</v>
      </c>
      <c r="L27" s="15">
        <v>46000</v>
      </c>
      <c r="M27" s="16">
        <f t="shared" si="0"/>
        <v>147000</v>
      </c>
      <c r="N27" s="16">
        <f t="shared" si="1"/>
        <v>58000</v>
      </c>
      <c r="O27" s="16">
        <f t="shared" si="2"/>
        <v>43000</v>
      </c>
      <c r="P27" s="17">
        <f t="shared" si="3"/>
        <v>73500</v>
      </c>
      <c r="Q27" s="18">
        <f t="shared" si="4"/>
        <v>1.05</v>
      </c>
      <c r="R27" s="20" t="str">
        <f>IF(M27&gt;=75000,"achieved","Not Achieved")</f>
        <v>achieved</v>
      </c>
      <c r="S27" s="27" t="str">
        <f>IF(AND(G26&gt;=125,H26&gt;=8),"YES","NO")</f>
        <v>NO</v>
      </c>
      <c r="T27" s="20" t="str">
        <f t="shared" si="5"/>
        <v>YES</v>
      </c>
      <c r="U27" s="20" t="str">
        <f t="shared" si="6"/>
        <v>A++</v>
      </c>
    </row>
    <row r="28" spans="1:21">
      <c r="A28" s="13">
        <v>16</v>
      </c>
      <c r="B28" s="13" t="s">
        <v>57</v>
      </c>
      <c r="C28" s="13" t="s">
        <v>23</v>
      </c>
      <c r="D28" s="13">
        <v>36</v>
      </c>
      <c r="E28" s="13" t="s">
        <v>42</v>
      </c>
      <c r="F28" s="14" t="s">
        <v>58</v>
      </c>
      <c r="G28" s="13">
        <v>130</v>
      </c>
      <c r="H28" s="13">
        <v>4</v>
      </c>
      <c r="I28" s="15">
        <v>120000</v>
      </c>
      <c r="J28" s="15">
        <v>47000</v>
      </c>
      <c r="K28" s="15">
        <v>68000</v>
      </c>
      <c r="L28" s="15">
        <v>32000</v>
      </c>
      <c r="M28" s="16">
        <f t="shared" si="0"/>
        <v>147000</v>
      </c>
      <c r="N28" s="16">
        <f t="shared" si="1"/>
        <v>68000</v>
      </c>
      <c r="O28" s="16">
        <f t="shared" si="2"/>
        <v>32000</v>
      </c>
      <c r="P28" s="17">
        <f t="shared" si="3"/>
        <v>73500</v>
      </c>
      <c r="Q28" s="18">
        <f t="shared" si="4"/>
        <v>1.2250000000000001</v>
      </c>
      <c r="R28" s="20" t="str">
        <f>IF(M28&gt;=75000,"achieved","Not Achieved")</f>
        <v>achieved</v>
      </c>
      <c r="S28" s="27" t="str">
        <f>IF(AND(G27&gt;=125,H27&gt;=8),"YES","NO")</f>
        <v>NO</v>
      </c>
      <c r="T28" s="20" t="str">
        <f t="shared" si="5"/>
        <v>YES</v>
      </c>
      <c r="U28" s="20" t="str">
        <f t="shared" si="6"/>
        <v>A++</v>
      </c>
    </row>
    <row r="29" spans="1:21">
      <c r="A29" s="13">
        <v>35</v>
      </c>
      <c r="B29" s="13" t="s">
        <v>94</v>
      </c>
      <c r="C29" s="13" t="s">
        <v>23</v>
      </c>
      <c r="D29" s="13">
        <v>31</v>
      </c>
      <c r="E29" s="13" t="s">
        <v>33</v>
      </c>
      <c r="F29" s="14" t="s">
        <v>95</v>
      </c>
      <c r="G29" s="13">
        <v>128</v>
      </c>
      <c r="H29" s="13">
        <v>4</v>
      </c>
      <c r="I29" s="15">
        <v>120000</v>
      </c>
      <c r="J29" s="15">
        <v>45000</v>
      </c>
      <c r="K29" s="15">
        <v>67000</v>
      </c>
      <c r="L29" s="15">
        <v>32000</v>
      </c>
      <c r="M29" s="16">
        <f t="shared" si="0"/>
        <v>144000</v>
      </c>
      <c r="N29" s="16">
        <f t="shared" si="1"/>
        <v>67000</v>
      </c>
      <c r="O29" s="16">
        <f t="shared" si="2"/>
        <v>32000</v>
      </c>
      <c r="P29" s="17">
        <f t="shared" si="3"/>
        <v>72000</v>
      </c>
      <c r="Q29" s="18">
        <f t="shared" si="4"/>
        <v>1.2</v>
      </c>
      <c r="R29" s="20" t="str">
        <f>IF(M29&gt;=75000,"Target Achieved","Achieved")</f>
        <v>Target Achieved</v>
      </c>
      <c r="S29" s="27" t="str">
        <f>IF(AND(G29&gt;=125,H29&gt;=7),"YES","NO")</f>
        <v>NO</v>
      </c>
      <c r="T29" s="20" t="str">
        <f t="shared" si="5"/>
        <v>NO</v>
      </c>
      <c r="U29" s="20" t="str">
        <f t="shared" si="6"/>
        <v>A++</v>
      </c>
    </row>
    <row r="30" spans="1:21">
      <c r="A30" s="13">
        <v>13</v>
      </c>
      <c r="B30" s="13" t="s">
        <v>51</v>
      </c>
      <c r="C30" s="13" t="s">
        <v>30</v>
      </c>
      <c r="D30" s="13">
        <v>24</v>
      </c>
      <c r="E30" s="13" t="s">
        <v>33</v>
      </c>
      <c r="F30" s="14" t="s">
        <v>52</v>
      </c>
      <c r="G30" s="13">
        <v>144</v>
      </c>
      <c r="H30" s="13">
        <v>4</v>
      </c>
      <c r="I30" s="15">
        <v>180000</v>
      </c>
      <c r="J30" s="15">
        <v>62000</v>
      </c>
      <c r="K30" s="15">
        <v>31000</v>
      </c>
      <c r="L30" s="15">
        <v>49000</v>
      </c>
      <c r="M30" s="16">
        <f t="shared" si="0"/>
        <v>142000</v>
      </c>
      <c r="N30" s="16">
        <f t="shared" si="1"/>
        <v>62000</v>
      </c>
      <c r="O30" s="16">
        <f t="shared" si="2"/>
        <v>31000</v>
      </c>
      <c r="P30" s="17">
        <f t="shared" si="3"/>
        <v>71000</v>
      </c>
      <c r="Q30" s="18">
        <f t="shared" si="4"/>
        <v>0.78888888888888886</v>
      </c>
      <c r="R30" s="20" t="str">
        <f>IF(M30&gt;=75000,"achieved","Not Achieved")</f>
        <v>achieved</v>
      </c>
      <c r="S30" s="27" t="str">
        <f>IF(AND(G30&gt;=125,H30&gt;=7),"YES","NO")</f>
        <v>NO</v>
      </c>
      <c r="T30" s="20" t="str">
        <f t="shared" si="5"/>
        <v>YES</v>
      </c>
      <c r="U30" s="20" t="str">
        <f t="shared" si="6"/>
        <v>A++</v>
      </c>
    </row>
    <row r="31" spans="1:21">
      <c r="A31" s="13">
        <v>30</v>
      </c>
      <c r="B31" s="13" t="s">
        <v>84</v>
      </c>
      <c r="C31" s="13" t="s">
        <v>23</v>
      </c>
      <c r="D31" s="13">
        <v>33</v>
      </c>
      <c r="E31" s="13" t="s">
        <v>33</v>
      </c>
      <c r="F31" s="14" t="s">
        <v>85</v>
      </c>
      <c r="G31" s="13">
        <v>148</v>
      </c>
      <c r="H31" s="13">
        <v>5</v>
      </c>
      <c r="I31" s="15">
        <v>120000</v>
      </c>
      <c r="J31" s="15">
        <v>62000</v>
      </c>
      <c r="K31" s="15">
        <v>30000</v>
      </c>
      <c r="L31" s="15">
        <v>50000</v>
      </c>
      <c r="M31" s="16">
        <f t="shared" si="0"/>
        <v>142000</v>
      </c>
      <c r="N31" s="16">
        <f t="shared" si="1"/>
        <v>62000</v>
      </c>
      <c r="O31" s="16">
        <f t="shared" si="2"/>
        <v>30000</v>
      </c>
      <c r="P31" s="17">
        <f t="shared" si="3"/>
        <v>71000</v>
      </c>
      <c r="Q31" s="18">
        <f t="shared" si="4"/>
        <v>1.1833333333333333</v>
      </c>
      <c r="R31" s="20" t="str">
        <f>IF(M31&gt;=75000,"Target Achieved","Achieved")</f>
        <v>Target Achieved</v>
      </c>
      <c r="S31" s="27" t="str">
        <f>IF(AND(G30&gt;=125,H30&gt;=8),"YES","NO")</f>
        <v>NO</v>
      </c>
      <c r="T31" s="20" t="str">
        <f t="shared" si="5"/>
        <v>NO</v>
      </c>
      <c r="U31" s="20" t="str">
        <f t="shared" si="6"/>
        <v>A</v>
      </c>
    </row>
    <row r="32" spans="1:21">
      <c r="A32" s="13">
        <v>20</v>
      </c>
      <c r="B32" s="13" t="s">
        <v>65</v>
      </c>
      <c r="C32" s="13" t="s">
        <v>30</v>
      </c>
      <c r="D32" s="13">
        <v>44</v>
      </c>
      <c r="E32" s="13" t="s">
        <v>24</v>
      </c>
      <c r="F32" s="14" t="s">
        <v>66</v>
      </c>
      <c r="G32" s="13">
        <v>132</v>
      </c>
      <c r="H32" s="22"/>
      <c r="I32" s="15">
        <v>120000</v>
      </c>
      <c r="J32" s="15">
        <v>32000</v>
      </c>
      <c r="K32" s="15">
        <v>58000</v>
      </c>
      <c r="L32" s="15">
        <v>51000</v>
      </c>
      <c r="M32" s="16">
        <f t="shared" si="0"/>
        <v>141000</v>
      </c>
      <c r="N32" s="16">
        <f t="shared" si="1"/>
        <v>58000</v>
      </c>
      <c r="O32" s="16">
        <f t="shared" si="2"/>
        <v>32000</v>
      </c>
      <c r="P32" s="17">
        <f t="shared" si="3"/>
        <v>70500</v>
      </c>
      <c r="Q32" s="18">
        <f t="shared" si="4"/>
        <v>1.175</v>
      </c>
      <c r="R32" s="20" t="str">
        <f>IF(M32&gt;=75000,"Target Achieved","Achieved")</f>
        <v>Target Achieved</v>
      </c>
      <c r="S32" s="27" t="str">
        <f>IF(AND(G31&gt;=125,H31&gt;=8),"YES","NO")</f>
        <v>NO</v>
      </c>
      <c r="T32" s="20" t="str">
        <f t="shared" si="5"/>
        <v>NO</v>
      </c>
      <c r="U32" s="20" t="str">
        <f t="shared" si="6"/>
        <v>A++</v>
      </c>
    </row>
    <row r="33" spans="1:21">
      <c r="A33" s="13">
        <v>31</v>
      </c>
      <c r="B33" s="13" t="s">
        <v>86</v>
      </c>
      <c r="C33" s="13" t="s">
        <v>23</v>
      </c>
      <c r="D33" s="13">
        <v>28</v>
      </c>
      <c r="E33" s="13" t="s">
        <v>33</v>
      </c>
      <c r="F33" s="14" t="s">
        <v>87</v>
      </c>
      <c r="G33" s="13">
        <v>137</v>
      </c>
      <c r="H33" s="13">
        <v>10</v>
      </c>
      <c r="I33" s="15">
        <v>140000</v>
      </c>
      <c r="J33" s="15">
        <v>55000</v>
      </c>
      <c r="K33" s="15">
        <v>43000</v>
      </c>
      <c r="L33" s="15">
        <v>41000</v>
      </c>
      <c r="M33" s="16">
        <f t="shared" si="0"/>
        <v>139000</v>
      </c>
      <c r="N33" s="16">
        <f t="shared" si="1"/>
        <v>55000</v>
      </c>
      <c r="O33" s="16">
        <f t="shared" si="2"/>
        <v>41000</v>
      </c>
      <c r="P33" s="17">
        <f t="shared" si="3"/>
        <v>69500</v>
      </c>
      <c r="Q33" s="18">
        <f t="shared" si="4"/>
        <v>0.99285714285714288</v>
      </c>
      <c r="R33" s="20" t="str">
        <f>IF(M33&gt;=75000,"Target Achieved","Achieved")</f>
        <v>Target Achieved</v>
      </c>
      <c r="S33" s="27" t="str">
        <f>IF(AND(G33&gt;=125,H33&gt;=7),"YES","NO")</f>
        <v>YES</v>
      </c>
      <c r="T33" s="20" t="str">
        <f t="shared" si="5"/>
        <v>YES</v>
      </c>
      <c r="U33" s="20" t="str">
        <f t="shared" si="6"/>
        <v>A++</v>
      </c>
    </row>
    <row r="34" spans="1:21">
      <c r="A34" s="13">
        <v>3</v>
      </c>
      <c r="B34" s="13" t="s">
        <v>29</v>
      </c>
      <c r="C34" s="13" t="s">
        <v>30</v>
      </c>
      <c r="D34" s="13">
        <v>37</v>
      </c>
      <c r="E34" s="13" t="s">
        <v>24</v>
      </c>
      <c r="F34" s="14" t="s">
        <v>31</v>
      </c>
      <c r="G34" s="13">
        <v>142</v>
      </c>
      <c r="H34" s="13">
        <v>6</v>
      </c>
      <c r="I34" s="15">
        <v>120000</v>
      </c>
      <c r="J34" s="15">
        <v>34000</v>
      </c>
      <c r="K34" s="15">
        <v>66000</v>
      </c>
      <c r="L34" s="15">
        <v>36000</v>
      </c>
      <c r="M34" s="16">
        <f t="shared" si="0"/>
        <v>136000</v>
      </c>
      <c r="N34" s="16">
        <f t="shared" si="1"/>
        <v>66000</v>
      </c>
      <c r="O34" s="16">
        <f t="shared" si="2"/>
        <v>34000</v>
      </c>
      <c r="P34" s="17">
        <f t="shared" si="3"/>
        <v>68000</v>
      </c>
      <c r="Q34" s="18">
        <f t="shared" si="4"/>
        <v>1.1333333333333333</v>
      </c>
      <c r="R34" s="20" t="str">
        <f>IF(M34&gt;=75000,"achieved","Not Achieved")</f>
        <v>achieved</v>
      </c>
      <c r="S34" s="27" t="str">
        <f>IF(AND(G34&gt;=125,H34&gt;=7),"YES","NO")</f>
        <v>NO</v>
      </c>
      <c r="T34" s="20" t="str">
        <f t="shared" si="5"/>
        <v>YES</v>
      </c>
      <c r="U34" s="20" t="str">
        <f t="shared" si="6"/>
        <v>A++</v>
      </c>
    </row>
    <row r="35" spans="1:21">
      <c r="A35" s="13">
        <v>5</v>
      </c>
      <c r="B35" s="13" t="s">
        <v>35</v>
      </c>
      <c r="C35" s="13" t="s">
        <v>23</v>
      </c>
      <c r="D35" s="13">
        <v>35</v>
      </c>
      <c r="E35" s="13" t="s">
        <v>24</v>
      </c>
      <c r="F35" s="14" t="s">
        <v>36</v>
      </c>
      <c r="G35" s="13">
        <v>122</v>
      </c>
      <c r="H35" s="13">
        <v>7</v>
      </c>
      <c r="I35" s="15">
        <v>180000</v>
      </c>
      <c r="J35" s="15">
        <v>42000</v>
      </c>
      <c r="K35" s="15">
        <v>38000</v>
      </c>
      <c r="L35" s="15">
        <v>56000</v>
      </c>
      <c r="M35" s="16">
        <f t="shared" si="0"/>
        <v>136000</v>
      </c>
      <c r="N35" s="16">
        <f t="shared" si="1"/>
        <v>56000</v>
      </c>
      <c r="O35" s="16">
        <f t="shared" si="2"/>
        <v>38000</v>
      </c>
      <c r="P35" s="17">
        <f t="shared" si="3"/>
        <v>68000</v>
      </c>
      <c r="Q35" s="18">
        <f t="shared" si="4"/>
        <v>0.75555555555555554</v>
      </c>
      <c r="R35" s="20" t="str">
        <f>IF(M35&gt;=75000,"achieved","Not Achieved")</f>
        <v>achieved</v>
      </c>
      <c r="S35" s="27" t="str">
        <f>IF(AND(G35&gt;=125,H35&gt;=7),"YES","NO")</f>
        <v>NO</v>
      </c>
      <c r="T35" s="20" t="str">
        <f t="shared" si="5"/>
        <v>YES</v>
      </c>
      <c r="U35" s="20" t="str">
        <f t="shared" si="6"/>
        <v>A++</v>
      </c>
    </row>
    <row r="36" spans="1:21">
      <c r="A36" s="13">
        <v>36</v>
      </c>
      <c r="B36" s="13" t="s">
        <v>96</v>
      </c>
      <c r="C36" s="13" t="s">
        <v>23</v>
      </c>
      <c r="D36" s="13">
        <v>23</v>
      </c>
      <c r="E36" s="13" t="s">
        <v>27</v>
      </c>
      <c r="F36" s="14" t="s">
        <v>97</v>
      </c>
      <c r="G36" s="13">
        <v>125</v>
      </c>
      <c r="H36" s="13">
        <v>4</v>
      </c>
      <c r="I36" s="15">
        <v>180000</v>
      </c>
      <c r="J36" s="15">
        <v>36000</v>
      </c>
      <c r="K36" s="15">
        <v>59000</v>
      </c>
      <c r="L36" s="15">
        <v>39000</v>
      </c>
      <c r="M36" s="16">
        <f t="shared" si="0"/>
        <v>134000</v>
      </c>
      <c r="N36" s="16">
        <f t="shared" si="1"/>
        <v>59000</v>
      </c>
      <c r="O36" s="16">
        <f t="shared" si="2"/>
        <v>36000</v>
      </c>
      <c r="P36" s="17">
        <f t="shared" si="3"/>
        <v>67000</v>
      </c>
      <c r="Q36" s="18">
        <f t="shared" si="4"/>
        <v>0.74444444444444446</v>
      </c>
      <c r="R36" s="20" t="str">
        <f>IF(M36&gt;=75000,"Target Achieved","Achieved")</f>
        <v>Target Achieved</v>
      </c>
      <c r="S36" s="27" t="str">
        <f>IF(AND(G35&gt;=125,H35&gt;=8),"YES","NO")</f>
        <v>NO</v>
      </c>
      <c r="T36" s="20" t="str">
        <f t="shared" si="5"/>
        <v>NO</v>
      </c>
      <c r="U36" s="20" t="str">
        <f t="shared" si="6"/>
        <v>A</v>
      </c>
    </row>
    <row r="37" spans="1:21">
      <c r="A37" s="13">
        <v>11</v>
      </c>
      <c r="B37" s="13" t="s">
        <v>26</v>
      </c>
      <c r="C37" s="13" t="s">
        <v>23</v>
      </c>
      <c r="D37" s="13">
        <v>44</v>
      </c>
      <c r="E37" s="13" t="s">
        <v>27</v>
      </c>
      <c r="F37" s="14" t="s">
        <v>48</v>
      </c>
      <c r="G37" s="13">
        <v>150</v>
      </c>
      <c r="H37" s="13">
        <v>4</v>
      </c>
      <c r="I37" s="15">
        <v>160000</v>
      </c>
      <c r="J37" s="15">
        <v>34000</v>
      </c>
      <c r="K37" s="15">
        <v>49000</v>
      </c>
      <c r="L37" s="15">
        <v>50000</v>
      </c>
      <c r="M37" s="16">
        <f t="shared" si="0"/>
        <v>133000</v>
      </c>
      <c r="N37" s="16">
        <f t="shared" si="1"/>
        <v>50000</v>
      </c>
      <c r="O37" s="16">
        <f t="shared" si="2"/>
        <v>34000</v>
      </c>
      <c r="P37" s="17">
        <f t="shared" si="3"/>
        <v>66500</v>
      </c>
      <c r="Q37" s="18">
        <f t="shared" si="4"/>
        <v>0.83125000000000004</v>
      </c>
      <c r="R37" s="20" t="str">
        <f>IF(M37&gt;=75000,"achieved","Not Achieved")</f>
        <v>achieved</v>
      </c>
      <c r="S37" s="27" t="str">
        <f>IF(AND(G37&gt;=125,H37&gt;=7),"YES","NO")</f>
        <v>NO</v>
      </c>
      <c r="T37" s="20" t="str">
        <f t="shared" si="5"/>
        <v>YES</v>
      </c>
      <c r="U37" s="20" t="str">
        <f t="shared" si="6"/>
        <v>B</v>
      </c>
    </row>
    <row r="38" spans="1:21">
      <c r="A38" s="13">
        <v>28</v>
      </c>
      <c r="B38" s="13" t="s">
        <v>81</v>
      </c>
      <c r="C38" s="13" t="s">
        <v>23</v>
      </c>
      <c r="D38" s="22"/>
      <c r="E38" s="13" t="s">
        <v>24</v>
      </c>
      <c r="F38" s="14" t="s">
        <v>82</v>
      </c>
      <c r="G38" s="13">
        <v>114</v>
      </c>
      <c r="H38" s="13">
        <v>7</v>
      </c>
      <c r="I38" s="15">
        <v>120000</v>
      </c>
      <c r="J38" s="15">
        <v>31000</v>
      </c>
      <c r="K38" s="15">
        <v>32000</v>
      </c>
      <c r="L38" s="15">
        <v>65000</v>
      </c>
      <c r="M38" s="16">
        <f t="shared" si="0"/>
        <v>128000</v>
      </c>
      <c r="N38" s="16">
        <f t="shared" si="1"/>
        <v>65000</v>
      </c>
      <c r="O38" s="16">
        <f t="shared" si="2"/>
        <v>31000</v>
      </c>
      <c r="P38" s="17">
        <f t="shared" si="3"/>
        <v>64000</v>
      </c>
      <c r="Q38" s="18">
        <f t="shared" si="4"/>
        <v>1.0666666666666667</v>
      </c>
      <c r="R38" s="20" t="str">
        <f>IF(M38&gt;=75000,"Target Achieved","Achieved")</f>
        <v>Target Achieved</v>
      </c>
      <c r="S38" s="27" t="str">
        <f>IF(AND(G37&gt;=125,H37&gt;=8),"YES","NO")</f>
        <v>NO</v>
      </c>
      <c r="T38" s="20" t="str">
        <f t="shared" si="5"/>
        <v>NO</v>
      </c>
      <c r="U38" s="20" t="str">
        <f t="shared" si="6"/>
        <v>A</v>
      </c>
    </row>
    <row r="39" spans="1:21">
      <c r="A39" s="13">
        <v>10</v>
      </c>
      <c r="B39" s="13" t="s">
        <v>46</v>
      </c>
      <c r="C39" s="13" t="s">
        <v>30</v>
      </c>
      <c r="D39" s="13">
        <v>22</v>
      </c>
      <c r="E39" s="13" t="s">
        <v>24</v>
      </c>
      <c r="F39" s="14" t="s">
        <v>47</v>
      </c>
      <c r="G39" s="13">
        <v>143</v>
      </c>
      <c r="H39" s="13">
        <v>8</v>
      </c>
      <c r="I39" s="15">
        <v>140000</v>
      </c>
      <c r="J39" s="15">
        <v>35000</v>
      </c>
      <c r="K39" s="15">
        <v>53000</v>
      </c>
      <c r="L39" s="15">
        <v>38000</v>
      </c>
      <c r="M39" s="16">
        <f t="shared" si="0"/>
        <v>126000</v>
      </c>
      <c r="N39" s="16">
        <f t="shared" si="1"/>
        <v>53000</v>
      </c>
      <c r="O39" s="16">
        <f t="shared" si="2"/>
        <v>35000</v>
      </c>
      <c r="P39" s="17">
        <f t="shared" si="3"/>
        <v>63000</v>
      </c>
      <c r="Q39" s="18">
        <f t="shared" si="4"/>
        <v>0.9</v>
      </c>
      <c r="R39" s="20" t="str">
        <f>IF(M39&gt;=75000,"achieved","Not Achieved")</f>
        <v>achieved</v>
      </c>
      <c r="S39" s="27" t="str">
        <f>IF(AND(G38&gt;=125,H38&gt;=8),"YES","NO")</f>
        <v>NO</v>
      </c>
      <c r="T39" s="20" t="str">
        <f t="shared" si="5"/>
        <v>YES</v>
      </c>
      <c r="U39" s="20" t="str">
        <f t="shared" si="6"/>
        <v>A++</v>
      </c>
    </row>
    <row r="40" spans="1:21">
      <c r="A40" s="13">
        <v>39</v>
      </c>
      <c r="B40" s="13" t="s">
        <v>101</v>
      </c>
      <c r="C40" s="13" t="s">
        <v>23</v>
      </c>
      <c r="D40" s="13">
        <v>29</v>
      </c>
      <c r="E40" s="13" t="s">
        <v>27</v>
      </c>
      <c r="F40" s="14" t="s">
        <v>102</v>
      </c>
      <c r="G40" s="13">
        <v>116</v>
      </c>
      <c r="H40" s="13">
        <v>5</v>
      </c>
      <c r="I40" s="15">
        <v>180000</v>
      </c>
      <c r="J40" s="15">
        <v>47000</v>
      </c>
      <c r="K40" s="15">
        <v>34000</v>
      </c>
      <c r="L40" s="15">
        <v>35000</v>
      </c>
      <c r="M40" s="16">
        <f t="shared" si="0"/>
        <v>116000</v>
      </c>
      <c r="N40" s="16">
        <f t="shared" si="1"/>
        <v>47000</v>
      </c>
      <c r="O40" s="16">
        <f t="shared" si="2"/>
        <v>34000</v>
      </c>
      <c r="P40" s="17">
        <f t="shared" si="3"/>
        <v>58000</v>
      </c>
      <c r="Q40" s="18">
        <f t="shared" si="4"/>
        <v>0.64444444444444449</v>
      </c>
      <c r="R40" s="20" t="str">
        <f>IF(M40&gt;=75000,"Target Achieved","Achieved")</f>
        <v>Target Achieved</v>
      </c>
      <c r="S40" s="27" t="str">
        <f>IF(AND(G40&gt;=125,H40&gt;=7),"YES","NO")</f>
        <v>NO</v>
      </c>
      <c r="T40" s="20" t="str">
        <f t="shared" si="5"/>
        <v>NO</v>
      </c>
      <c r="U40" s="20" t="str">
        <f t="shared" si="6"/>
        <v>A++</v>
      </c>
    </row>
    <row r="41" spans="1:21">
      <c r="A41" s="28">
        <v>33</v>
      </c>
      <c r="B41" s="28" t="s">
        <v>90</v>
      </c>
      <c r="C41" s="28" t="s">
        <v>30</v>
      </c>
      <c r="D41" s="28">
        <v>34</v>
      </c>
      <c r="E41" s="28" t="s">
        <v>42</v>
      </c>
      <c r="F41" s="31" t="s">
        <v>91</v>
      </c>
      <c r="G41" s="28">
        <v>122</v>
      </c>
      <c r="H41" s="28">
        <v>9</v>
      </c>
      <c r="I41" s="32">
        <v>160000</v>
      </c>
      <c r="J41" s="32">
        <v>30000</v>
      </c>
      <c r="K41" s="32">
        <v>36000</v>
      </c>
      <c r="L41" s="32">
        <v>46000</v>
      </c>
      <c r="M41" s="33">
        <f t="shared" si="0"/>
        <v>112000</v>
      </c>
      <c r="N41" s="16">
        <f t="shared" si="1"/>
        <v>46000</v>
      </c>
      <c r="O41" s="16">
        <f t="shared" si="2"/>
        <v>30000</v>
      </c>
      <c r="P41" s="17">
        <f t="shared" si="3"/>
        <v>56000</v>
      </c>
      <c r="Q41" s="18">
        <f t="shared" si="4"/>
        <v>0.7</v>
      </c>
      <c r="R41" s="20" t="str">
        <f>IF(M41&gt;=75000,"Target Achieved","Achieved")</f>
        <v>Target Achieved</v>
      </c>
      <c r="S41" s="27" t="str">
        <f>IF(AND(G41&gt;=125,H41&gt;=7),"YES","NO")</f>
        <v>NO</v>
      </c>
      <c r="T41" s="20" t="str">
        <f t="shared" si="5"/>
        <v>YES</v>
      </c>
      <c r="U41" s="20" t="str">
        <f t="shared" si="6"/>
        <v>B</v>
      </c>
    </row>
    <row r="42" spans="1:21">
      <c r="A42" s="28">
        <v>8</v>
      </c>
      <c r="B42" s="28" t="s">
        <v>41</v>
      </c>
      <c r="C42" s="28" t="s">
        <v>30</v>
      </c>
      <c r="D42" s="28">
        <v>31</v>
      </c>
      <c r="E42" s="28" t="s">
        <v>42</v>
      </c>
      <c r="F42" s="31" t="s">
        <v>43</v>
      </c>
      <c r="G42" s="28">
        <v>115</v>
      </c>
      <c r="H42" s="28">
        <v>7</v>
      </c>
      <c r="I42" s="32">
        <v>120000</v>
      </c>
      <c r="J42" s="32">
        <v>36000</v>
      </c>
      <c r="K42" s="32">
        <v>36000</v>
      </c>
      <c r="L42" s="32">
        <v>32000</v>
      </c>
      <c r="M42" s="33">
        <f t="shared" si="0"/>
        <v>104000</v>
      </c>
      <c r="N42" s="16">
        <f t="shared" si="1"/>
        <v>36000</v>
      </c>
      <c r="O42" s="16">
        <f t="shared" si="2"/>
        <v>32000</v>
      </c>
      <c r="P42" s="17">
        <f t="shared" si="3"/>
        <v>52000</v>
      </c>
      <c r="Q42" s="18">
        <f t="shared" si="4"/>
        <v>0.8666666666666667</v>
      </c>
      <c r="R42" s="20" t="str">
        <f>IF(M42&gt;=75000,"achieved","Not Achieved")</f>
        <v>achieved</v>
      </c>
      <c r="S42" s="27" t="str">
        <f>IF(AND(G41&gt;=125,H41&gt;=8),"YES","NO")</f>
        <v>NO</v>
      </c>
      <c r="T42" s="20" t="str">
        <f t="shared" si="5"/>
        <v>YES</v>
      </c>
      <c r="U42" s="20" t="str">
        <f t="shared" si="6"/>
        <v>B</v>
      </c>
    </row>
    <row r="43" spans="1:2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3"/>
      <c r="O43" s="5">
        <f t="shared" si="2"/>
        <v>0</v>
      </c>
      <c r="P43" s="9">
        <f t="shared" si="3"/>
        <v>0</v>
      </c>
      <c r="Q43" s="10" t="e">
        <f t="shared" si="4"/>
        <v>#DIV/0!</v>
      </c>
      <c r="R43" s="20" t="str">
        <f>IF(M43&gt;=75000,"Target Achieved","Achieved")</f>
        <v>Achieved</v>
      </c>
      <c r="S43" s="27" t="str">
        <f>IF(AND(G42&gt;=125,H42&gt;=8),"YES","NO")</f>
        <v>NO</v>
      </c>
      <c r="T43" s="20" t="str">
        <f t="shared" si="5"/>
        <v>YES</v>
      </c>
      <c r="U43" s="20" t="str">
        <f t="shared" si="6"/>
        <v>A+</v>
      </c>
    </row>
    <row r="44" spans="1:2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3"/>
      <c r="O44" s="5">
        <f t="shared" si="2"/>
        <v>0</v>
      </c>
      <c r="P44" s="9">
        <f t="shared" si="3"/>
        <v>0</v>
      </c>
      <c r="Q44" s="10" t="e">
        <f t="shared" si="4"/>
        <v>#DIV/0!</v>
      </c>
      <c r="R44" s="20" t="str">
        <f>IF(M44&gt;=75000,"Target Achieved","Achieved")</f>
        <v>Achieved</v>
      </c>
      <c r="S44" s="27" t="str">
        <f>IF(AND(G44&gt;=125,H44&gt;=7),"YES","NO")</f>
        <v>NO</v>
      </c>
      <c r="T44" s="20" t="str">
        <f t="shared" si="5"/>
        <v>YES</v>
      </c>
      <c r="U44" s="20" t="e">
        <f t="shared" si="6"/>
        <v>#DIV/0!</v>
      </c>
    </row>
    <row r="45" spans="1:2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35"/>
      <c r="O45" s="36">
        <f t="shared" si="2"/>
        <v>0</v>
      </c>
      <c r="P45" s="37">
        <f t="shared" si="3"/>
        <v>0</v>
      </c>
      <c r="Q45" s="38" t="e">
        <f t="shared" si="4"/>
        <v>#DIV/0!</v>
      </c>
      <c r="R45" s="39" t="str">
        <f>IF(M45&gt;=75000,"Target Achieved","Achieved")</f>
        <v>Achieved</v>
      </c>
      <c r="S45" s="40" t="str">
        <f>IF(AND(G44&gt;=125,H44&gt;=8),"YES","NO")</f>
        <v>NO</v>
      </c>
      <c r="T45" s="39" t="str">
        <f t="shared" si="5"/>
        <v>YES</v>
      </c>
      <c r="U45" s="20" t="e">
        <f t="shared" si="6"/>
        <v>#DIV/0!</v>
      </c>
    </row>
  </sheetData>
  <conditionalFormatting sqref="M3:M7">
    <cfRule type="expression" dxfId="5" priority="1">
      <formula>$M11=213000</formula>
    </cfRule>
    <cfRule type="expression" dxfId="4" priority="2">
      <formula>$M3&gt;=2100000</formula>
    </cfRule>
    <cfRule type="colorScale" priority="3">
      <colorScale>
        <cfvo type="min" val="0"/>
        <cfvo type="max" val="0"/>
        <color rgb="FFFF7128"/>
        <color rgb="FFFFEF9C"/>
      </colorScale>
    </cfRule>
  </conditionalFormatting>
  <dataValidations count="3">
    <dataValidation type="whole" showInputMessage="1" showErrorMessage="1" promptTitle="input messge" prompt="please enter 4 digit number" sqref="G1">
      <formula1>4</formula1>
      <formula2>6</formula2>
    </dataValidation>
    <dataValidation type="list" allowBlank="1" showInputMessage="1" showErrorMessage="1" sqref="E2:E42">
      <formula1>"Delhi,Lucknow,Mumbai"</formula1>
    </dataValidation>
    <dataValidation type="textLength" allowBlank="1" showInputMessage="1" showErrorMessage="1" sqref="F1:F40">
      <formula1>0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selection activeCell="R5" sqref="R5"/>
    </sheetView>
  </sheetViews>
  <sheetFormatPr defaultRowHeight="14.5"/>
  <sheetData>
    <row r="1" spans="1:21" ht="39">
      <c r="A1" s="24" t="s">
        <v>159</v>
      </c>
      <c r="B1" s="11" t="s">
        <v>2</v>
      </c>
      <c r="C1" s="11" t="s">
        <v>3</v>
      </c>
      <c r="D1" s="26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2" t="s">
        <v>13</v>
      </c>
      <c r="N1" s="12" t="s">
        <v>14</v>
      </c>
      <c r="O1" s="12" t="s">
        <v>15</v>
      </c>
      <c r="P1" s="12" t="s">
        <v>16</v>
      </c>
      <c r="Q1" s="12" t="s">
        <v>17</v>
      </c>
      <c r="R1" s="12" t="s">
        <v>18</v>
      </c>
      <c r="S1" s="12" t="s">
        <v>19</v>
      </c>
      <c r="T1" s="12" t="s">
        <v>20</v>
      </c>
      <c r="U1" s="12" t="s">
        <v>21</v>
      </c>
    </row>
    <row r="2" spans="1:2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4"/>
      <c r="N2" s="34"/>
      <c r="O2" s="34"/>
      <c r="P2" s="30"/>
      <c r="Q2" s="30"/>
      <c r="R2" s="30"/>
      <c r="S2" s="30"/>
      <c r="T2" s="30"/>
      <c r="U2" s="30"/>
    </row>
    <row r="3" spans="1:21">
      <c r="A3" s="13">
        <v>38</v>
      </c>
      <c r="B3" s="13" t="s">
        <v>99</v>
      </c>
      <c r="C3" s="13" t="s">
        <v>23</v>
      </c>
      <c r="D3" s="13">
        <v>26</v>
      </c>
      <c r="E3" s="13" t="s">
        <v>27</v>
      </c>
      <c r="F3" s="14" t="s">
        <v>100</v>
      </c>
      <c r="G3" s="13">
        <v>127</v>
      </c>
      <c r="H3" s="13">
        <v>6</v>
      </c>
      <c r="I3" s="15">
        <v>180000</v>
      </c>
      <c r="J3" s="15">
        <v>73000</v>
      </c>
      <c r="K3" s="15">
        <v>66000</v>
      </c>
      <c r="L3" s="15">
        <v>74000</v>
      </c>
      <c r="M3" s="16">
        <f t="shared" ref="M3:M42" si="0">SUM(J3:L3)</f>
        <v>213000</v>
      </c>
      <c r="N3" s="16">
        <f t="shared" ref="N3:N42" si="1">MAX(J3:L3)</f>
        <v>74000</v>
      </c>
      <c r="O3" s="16">
        <f t="shared" ref="O3:O45" si="2">MIN(J3:L3)</f>
        <v>66000</v>
      </c>
      <c r="P3" s="17">
        <f t="shared" ref="P3:P45" si="3">M3/2</f>
        <v>106500</v>
      </c>
      <c r="Q3" s="18">
        <f t="shared" ref="Q3:Q45" si="4">M3/I3</f>
        <v>1.1833333333333333</v>
      </c>
      <c r="R3" s="20" t="str">
        <f>IF(M3&gt;=75000,"Target Achieved","Achieved")</f>
        <v>Target Achieved</v>
      </c>
      <c r="S3" s="27" t="str">
        <f>IF(AND(G2&gt;=125,H2&gt;=8),"YES","NO")</f>
        <v>NO</v>
      </c>
      <c r="T3" s="20" t="str">
        <f t="shared" ref="T3:T45" si="5">IF(OR(R3="achieved",H3&gt;=9),"YES","NO")</f>
        <v>NO</v>
      </c>
      <c r="U3" s="20" t="str">
        <f>IF(Q2&gt;=90%,"A++",IF(Q2&gt;=85%,"A+",IF(Q2&gt;=75%,"A","B")))</f>
        <v>B</v>
      </c>
    </row>
    <row r="4" spans="1:21">
      <c r="A4" s="13">
        <v>12</v>
      </c>
      <c r="B4" s="13" t="s">
        <v>49</v>
      </c>
      <c r="C4" s="13" t="s">
        <v>30</v>
      </c>
      <c r="D4" s="13">
        <v>39</v>
      </c>
      <c r="E4" s="13" t="s">
        <v>24</v>
      </c>
      <c r="F4" s="14" t="s">
        <v>50</v>
      </c>
      <c r="G4" s="13">
        <v>141</v>
      </c>
      <c r="H4" s="13">
        <v>8</v>
      </c>
      <c r="I4" s="15">
        <v>120000</v>
      </c>
      <c r="J4" s="15">
        <v>69000</v>
      </c>
      <c r="K4" s="15">
        <v>72000</v>
      </c>
      <c r="L4" s="15">
        <v>54000</v>
      </c>
      <c r="M4" s="16">
        <f t="shared" si="0"/>
        <v>195000</v>
      </c>
      <c r="N4" s="16">
        <f t="shared" si="1"/>
        <v>72000</v>
      </c>
      <c r="O4" s="16">
        <f t="shared" si="2"/>
        <v>54000</v>
      </c>
      <c r="P4" s="17">
        <f t="shared" si="3"/>
        <v>97500</v>
      </c>
      <c r="Q4" s="18">
        <f t="shared" si="4"/>
        <v>1.625</v>
      </c>
      <c r="R4" s="20" t="str">
        <f>IF(M4&gt;=75000,"achieved","Not Achieved")</f>
        <v>achieved</v>
      </c>
      <c r="S4" s="27" t="str">
        <f>IF(AND(G3&gt;=125,H3&gt;=8),"YES","NO")</f>
        <v>NO</v>
      </c>
      <c r="T4" s="20" t="str">
        <f t="shared" si="5"/>
        <v>YES</v>
      </c>
      <c r="U4" s="20" t="str">
        <f t="shared" ref="U4:U45" si="6">IF(Q3&gt;=90%,"A++",IF(Q3&gt;=85%,"A+",IF(Q3&gt;=75%,"A","B")))</f>
        <v>A++</v>
      </c>
    </row>
    <row r="5" spans="1:21">
      <c r="A5" s="13">
        <v>18</v>
      </c>
      <c r="B5" s="13" t="s">
        <v>61</v>
      </c>
      <c r="C5" s="13" t="s">
        <v>30</v>
      </c>
      <c r="D5" s="13">
        <v>28</v>
      </c>
      <c r="E5" s="13" t="s">
        <v>27</v>
      </c>
      <c r="F5" s="14" t="s">
        <v>62</v>
      </c>
      <c r="G5" s="13">
        <v>132</v>
      </c>
      <c r="H5" s="13">
        <v>8</v>
      </c>
      <c r="I5" s="15">
        <v>200000</v>
      </c>
      <c r="J5" s="15">
        <v>63000</v>
      </c>
      <c r="K5" s="15">
        <v>62000</v>
      </c>
      <c r="L5" s="15">
        <v>69000</v>
      </c>
      <c r="M5" s="16">
        <f t="shared" si="0"/>
        <v>194000</v>
      </c>
      <c r="N5" s="16">
        <f t="shared" si="1"/>
        <v>69000</v>
      </c>
      <c r="O5" s="16">
        <f t="shared" si="2"/>
        <v>62000</v>
      </c>
      <c r="P5" s="17">
        <f t="shared" si="3"/>
        <v>97000</v>
      </c>
      <c r="Q5" s="18">
        <f t="shared" si="4"/>
        <v>0.97</v>
      </c>
      <c r="R5" s="20" t="str">
        <f>IF(M5&gt;=75000,"Target Achieved","Achieved")</f>
        <v>Target Achieved</v>
      </c>
      <c r="S5" s="27" t="str">
        <f>IF(AND(G4&gt;=125,H4&gt;=8),"YES","NO")</f>
        <v>YES</v>
      </c>
      <c r="T5" s="20" t="str">
        <f t="shared" si="5"/>
        <v>NO</v>
      </c>
      <c r="U5" s="20" t="str">
        <f t="shared" si="6"/>
        <v>A++</v>
      </c>
    </row>
    <row r="6" spans="1:21">
      <c r="A6" s="13">
        <v>21</v>
      </c>
      <c r="B6" s="13" t="s">
        <v>67</v>
      </c>
      <c r="C6" s="13" t="s">
        <v>23</v>
      </c>
      <c r="D6" s="13">
        <v>28</v>
      </c>
      <c r="E6" s="13" t="s">
        <v>33</v>
      </c>
      <c r="F6" s="14" t="s">
        <v>68</v>
      </c>
      <c r="G6" s="13">
        <v>143</v>
      </c>
      <c r="H6" s="13">
        <v>10</v>
      </c>
      <c r="I6" s="15">
        <v>200000</v>
      </c>
      <c r="J6" s="15">
        <v>74000</v>
      </c>
      <c r="K6" s="15">
        <v>58000</v>
      </c>
      <c r="L6" s="15">
        <v>61000</v>
      </c>
      <c r="M6" s="16">
        <f t="shared" si="0"/>
        <v>193000</v>
      </c>
      <c r="N6" s="16">
        <f t="shared" si="1"/>
        <v>74000</v>
      </c>
      <c r="O6" s="16">
        <f t="shared" si="2"/>
        <v>58000</v>
      </c>
      <c r="P6" s="17">
        <f t="shared" si="3"/>
        <v>96500</v>
      </c>
      <c r="Q6" s="18">
        <f t="shared" si="4"/>
        <v>0.96499999999999997</v>
      </c>
      <c r="R6" s="20" t="str">
        <f>IF(M6&gt;=75000,"Target Achieved","Achieved")</f>
        <v>Target Achieved</v>
      </c>
      <c r="S6" s="27" t="str">
        <f>IF(AND(G6&gt;=125,H6&gt;=7),"YES","NO")</f>
        <v>YES</v>
      </c>
      <c r="T6" s="20" t="str">
        <f t="shared" si="5"/>
        <v>YES</v>
      </c>
      <c r="U6" s="20" t="str">
        <f t="shared" si="6"/>
        <v>A++</v>
      </c>
    </row>
    <row r="7" spans="1:21">
      <c r="A7" s="13">
        <v>25</v>
      </c>
      <c r="B7" s="13" t="s">
        <v>75</v>
      </c>
      <c r="C7" s="13" t="s">
        <v>30</v>
      </c>
      <c r="D7" s="13">
        <v>29</v>
      </c>
      <c r="E7" s="13" t="s">
        <v>27</v>
      </c>
      <c r="F7" s="14" t="s">
        <v>76</v>
      </c>
      <c r="G7" s="13">
        <v>117</v>
      </c>
      <c r="H7" s="13">
        <v>10</v>
      </c>
      <c r="I7" s="15">
        <v>180000</v>
      </c>
      <c r="J7" s="15">
        <v>69000</v>
      </c>
      <c r="K7" s="15">
        <v>46000</v>
      </c>
      <c r="L7" s="15">
        <v>75000</v>
      </c>
      <c r="M7" s="16">
        <f t="shared" si="0"/>
        <v>190000</v>
      </c>
      <c r="N7" s="16">
        <f t="shared" si="1"/>
        <v>75000</v>
      </c>
      <c r="O7" s="16">
        <f t="shared" si="2"/>
        <v>46000</v>
      </c>
      <c r="P7" s="17">
        <f t="shared" si="3"/>
        <v>95000</v>
      </c>
      <c r="Q7" s="18">
        <f t="shared" si="4"/>
        <v>1.0555555555555556</v>
      </c>
      <c r="R7" s="20" t="str">
        <f>IF(M7&gt;=75000,"Target Achieved","Achieved")</f>
        <v>Target Achieved</v>
      </c>
      <c r="S7" s="27" t="str">
        <f>IF(AND(G7&gt;=125,H7&gt;=7),"YES","NO")</f>
        <v>NO</v>
      </c>
      <c r="T7" s="20" t="str">
        <f t="shared" si="5"/>
        <v>YES</v>
      </c>
      <c r="U7" s="20" t="str">
        <f t="shared" si="6"/>
        <v>A++</v>
      </c>
    </row>
    <row r="8" spans="1:21">
      <c r="A8" s="13">
        <v>14</v>
      </c>
      <c r="B8" s="13" t="s">
        <v>53</v>
      </c>
      <c r="C8" s="13" t="s">
        <v>23</v>
      </c>
      <c r="D8" s="13">
        <v>44</v>
      </c>
      <c r="E8" s="13" t="s">
        <v>24</v>
      </c>
      <c r="F8" s="14" t="s">
        <v>54</v>
      </c>
      <c r="G8" s="13">
        <v>122</v>
      </c>
      <c r="H8" s="13">
        <v>8</v>
      </c>
      <c r="I8" s="15">
        <v>140000</v>
      </c>
      <c r="J8" s="15">
        <v>51000</v>
      </c>
      <c r="K8" s="15">
        <v>72000</v>
      </c>
      <c r="L8" s="15">
        <v>58000</v>
      </c>
      <c r="M8" s="16">
        <f t="shared" si="0"/>
        <v>181000</v>
      </c>
      <c r="N8" s="16">
        <f t="shared" si="1"/>
        <v>72000</v>
      </c>
      <c r="O8" s="16">
        <f t="shared" si="2"/>
        <v>51000</v>
      </c>
      <c r="P8" s="17">
        <f t="shared" si="3"/>
        <v>90500</v>
      </c>
      <c r="Q8" s="18">
        <f t="shared" si="4"/>
        <v>1.2928571428571429</v>
      </c>
      <c r="R8" s="20" t="str">
        <f>IF(M8&gt;=75000,"achieved","Not Achieved")</f>
        <v>achieved</v>
      </c>
      <c r="S8" s="27" t="str">
        <f>IF(AND(G7&gt;=125,H7&gt;=8),"YES","NO")</f>
        <v>NO</v>
      </c>
      <c r="T8" s="20" t="str">
        <f t="shared" si="5"/>
        <v>YES</v>
      </c>
      <c r="U8" s="20" t="str">
        <f t="shared" si="6"/>
        <v>A++</v>
      </c>
    </row>
    <row r="9" spans="1:21">
      <c r="A9" s="13">
        <v>19</v>
      </c>
      <c r="B9" s="13" t="s">
        <v>63</v>
      </c>
      <c r="C9" s="13" t="s">
        <v>23</v>
      </c>
      <c r="D9" s="13">
        <v>24</v>
      </c>
      <c r="E9" s="13" t="s">
        <v>27</v>
      </c>
      <c r="F9" s="14" t="s">
        <v>64</v>
      </c>
      <c r="G9" s="13">
        <v>142</v>
      </c>
      <c r="H9" s="13">
        <v>10</v>
      </c>
      <c r="I9" s="15">
        <v>150000</v>
      </c>
      <c r="J9" s="15">
        <v>59000</v>
      </c>
      <c r="K9" s="15">
        <v>50000</v>
      </c>
      <c r="L9" s="15">
        <v>71000</v>
      </c>
      <c r="M9" s="16">
        <f t="shared" si="0"/>
        <v>180000</v>
      </c>
      <c r="N9" s="16">
        <f t="shared" si="1"/>
        <v>71000</v>
      </c>
      <c r="O9" s="16">
        <f t="shared" si="2"/>
        <v>50000</v>
      </c>
      <c r="P9" s="17">
        <f t="shared" si="3"/>
        <v>90000</v>
      </c>
      <c r="Q9" s="18">
        <f t="shared" si="4"/>
        <v>1.2</v>
      </c>
      <c r="R9" s="20" t="str">
        <f>IF(M9&gt;=75000,"Target Achieved","Achieved")</f>
        <v>Target Achieved</v>
      </c>
      <c r="S9" s="27" t="str">
        <f>IF(AND(G9&gt;=125,H9&gt;=7),"YES","NO")</f>
        <v>YES</v>
      </c>
      <c r="T9" s="20" t="str">
        <f t="shared" si="5"/>
        <v>YES</v>
      </c>
      <c r="U9" s="20" t="str">
        <f t="shared" si="6"/>
        <v>A++</v>
      </c>
    </row>
    <row r="10" spans="1:21">
      <c r="A10" s="13">
        <v>29</v>
      </c>
      <c r="B10" s="13" t="s">
        <v>75</v>
      </c>
      <c r="C10" s="13" t="s">
        <v>30</v>
      </c>
      <c r="D10" s="13">
        <v>25</v>
      </c>
      <c r="E10" s="13" t="s">
        <v>42</v>
      </c>
      <c r="F10" s="14" t="s">
        <v>83</v>
      </c>
      <c r="G10" s="13">
        <v>116</v>
      </c>
      <c r="H10" s="13">
        <v>6</v>
      </c>
      <c r="I10" s="15">
        <v>160000</v>
      </c>
      <c r="J10" s="15">
        <v>59000</v>
      </c>
      <c r="K10" s="15">
        <v>57000</v>
      </c>
      <c r="L10" s="15">
        <v>62000</v>
      </c>
      <c r="M10" s="16">
        <f t="shared" si="0"/>
        <v>178000</v>
      </c>
      <c r="N10" s="16">
        <f t="shared" si="1"/>
        <v>62000</v>
      </c>
      <c r="O10" s="16">
        <f t="shared" si="2"/>
        <v>57000</v>
      </c>
      <c r="P10" s="17">
        <f t="shared" si="3"/>
        <v>89000</v>
      </c>
      <c r="Q10" s="18">
        <f t="shared" si="4"/>
        <v>1.1125</v>
      </c>
      <c r="R10" s="20" t="str">
        <f>IF(M10&gt;=75000,"Target Achieved","Achieved")</f>
        <v>Target Achieved</v>
      </c>
      <c r="S10" s="27" t="str">
        <f>IF(AND(G10&gt;=125,H10&gt;=7),"YES","NO")</f>
        <v>NO</v>
      </c>
      <c r="T10" s="20" t="str">
        <f t="shared" si="5"/>
        <v>NO</v>
      </c>
      <c r="U10" s="20" t="str">
        <f t="shared" si="6"/>
        <v>A++</v>
      </c>
    </row>
    <row r="11" spans="1:21">
      <c r="A11" s="13">
        <v>27</v>
      </c>
      <c r="B11" s="13" t="s">
        <v>79</v>
      </c>
      <c r="C11" s="13" t="s">
        <v>30</v>
      </c>
      <c r="D11" s="13">
        <v>32</v>
      </c>
      <c r="E11" s="13" t="s">
        <v>27</v>
      </c>
      <c r="F11" s="14" t="s">
        <v>80</v>
      </c>
      <c r="G11" s="13">
        <v>116</v>
      </c>
      <c r="H11" s="13">
        <v>7</v>
      </c>
      <c r="I11" s="15">
        <v>160000</v>
      </c>
      <c r="J11" s="15">
        <v>64000</v>
      </c>
      <c r="K11" s="15">
        <v>75000</v>
      </c>
      <c r="L11" s="15">
        <v>38000</v>
      </c>
      <c r="M11" s="16">
        <f t="shared" si="0"/>
        <v>177000</v>
      </c>
      <c r="N11" s="16">
        <f t="shared" si="1"/>
        <v>75000</v>
      </c>
      <c r="O11" s="16">
        <f t="shared" si="2"/>
        <v>38000</v>
      </c>
      <c r="P11" s="17">
        <f t="shared" si="3"/>
        <v>88500</v>
      </c>
      <c r="Q11" s="18">
        <f t="shared" si="4"/>
        <v>1.10625</v>
      </c>
      <c r="R11" s="20" t="str">
        <f>IF(M11&gt;=75000,"Target Achieved","Achieved")</f>
        <v>Target Achieved</v>
      </c>
      <c r="S11" s="27" t="str">
        <f>IF(AND(G11&gt;=125,H11&gt;=7),"YES","NO")</f>
        <v>NO</v>
      </c>
      <c r="T11" s="20" t="str">
        <f t="shared" si="5"/>
        <v>NO</v>
      </c>
      <c r="U11" s="20" t="str">
        <f t="shared" si="6"/>
        <v>A++</v>
      </c>
    </row>
    <row r="12" spans="1:21">
      <c r="A12" s="13">
        <v>2</v>
      </c>
      <c r="B12" s="13" t="s">
        <v>26</v>
      </c>
      <c r="C12" s="13" t="s">
        <v>23</v>
      </c>
      <c r="D12" s="13">
        <v>41</v>
      </c>
      <c r="E12" s="13" t="s">
        <v>27</v>
      </c>
      <c r="F12" s="14" t="s">
        <v>28</v>
      </c>
      <c r="G12" s="13">
        <v>111</v>
      </c>
      <c r="H12" s="13">
        <v>10</v>
      </c>
      <c r="I12" s="15">
        <v>160000</v>
      </c>
      <c r="J12" s="15">
        <v>50000</v>
      </c>
      <c r="K12" s="15">
        <v>58000</v>
      </c>
      <c r="L12" s="15">
        <v>67000</v>
      </c>
      <c r="M12" s="16">
        <f t="shared" si="0"/>
        <v>175000</v>
      </c>
      <c r="N12" s="16">
        <f t="shared" si="1"/>
        <v>67000</v>
      </c>
      <c r="O12" s="16">
        <f t="shared" si="2"/>
        <v>50000</v>
      </c>
      <c r="P12" s="17">
        <f t="shared" si="3"/>
        <v>87500</v>
      </c>
      <c r="Q12" s="18">
        <f t="shared" si="4"/>
        <v>1.09375</v>
      </c>
      <c r="R12" s="20" t="str">
        <f>IF(M12&gt;=75000,"achieved","Not Achieved")</f>
        <v>achieved</v>
      </c>
      <c r="S12" s="27" t="str">
        <f>IF(AND(G11&gt;=125,H11&gt;=8),"YES","NO")</f>
        <v>NO</v>
      </c>
      <c r="T12" s="20" t="str">
        <f t="shared" si="5"/>
        <v>YES</v>
      </c>
      <c r="U12" s="20" t="str">
        <f t="shared" si="6"/>
        <v>A++</v>
      </c>
    </row>
    <row r="13" spans="1:21">
      <c r="A13" s="13">
        <v>22</v>
      </c>
      <c r="B13" s="13" t="s">
        <v>69</v>
      </c>
      <c r="C13" s="13" t="s">
        <v>30</v>
      </c>
      <c r="D13" s="13">
        <v>39</v>
      </c>
      <c r="E13" s="13" t="s">
        <v>24</v>
      </c>
      <c r="F13" s="14" t="s">
        <v>70</v>
      </c>
      <c r="G13" s="13">
        <v>123</v>
      </c>
      <c r="H13" s="13">
        <v>6</v>
      </c>
      <c r="I13" s="15">
        <v>140000</v>
      </c>
      <c r="J13" s="15">
        <v>64000</v>
      </c>
      <c r="K13" s="15">
        <v>63000</v>
      </c>
      <c r="L13" s="15">
        <v>47000</v>
      </c>
      <c r="M13" s="16">
        <f t="shared" si="0"/>
        <v>174000</v>
      </c>
      <c r="N13" s="16">
        <f t="shared" si="1"/>
        <v>64000</v>
      </c>
      <c r="O13" s="16">
        <f t="shared" si="2"/>
        <v>47000</v>
      </c>
      <c r="P13" s="17">
        <f t="shared" si="3"/>
        <v>87000</v>
      </c>
      <c r="Q13" s="18">
        <f t="shared" si="4"/>
        <v>1.2428571428571429</v>
      </c>
      <c r="R13" s="20" t="str">
        <f>IF(M13&gt;=75000,"Target Achieved","Achieved")</f>
        <v>Target Achieved</v>
      </c>
      <c r="S13" s="27" t="str">
        <f>IF(AND(G12&gt;=125,H12&gt;=8),"YES","NO")</f>
        <v>NO</v>
      </c>
      <c r="T13" s="20" t="str">
        <f t="shared" si="5"/>
        <v>NO</v>
      </c>
      <c r="U13" s="20" t="str">
        <f t="shared" si="6"/>
        <v>A++</v>
      </c>
    </row>
    <row r="14" spans="1:21">
      <c r="A14" s="13">
        <v>37</v>
      </c>
      <c r="B14" s="13" t="s">
        <v>98</v>
      </c>
      <c r="C14" s="13" t="s">
        <v>30</v>
      </c>
      <c r="D14" s="13">
        <v>35</v>
      </c>
      <c r="E14" s="13" t="s">
        <v>24</v>
      </c>
      <c r="F14" s="14" t="s">
        <v>158</v>
      </c>
      <c r="G14" s="13">
        <v>118</v>
      </c>
      <c r="H14" s="13">
        <v>9</v>
      </c>
      <c r="I14" s="15">
        <v>160000</v>
      </c>
      <c r="J14" s="15">
        <v>59000</v>
      </c>
      <c r="K14" s="15">
        <v>68000</v>
      </c>
      <c r="L14" s="15">
        <v>46000</v>
      </c>
      <c r="M14" s="16">
        <f t="shared" si="0"/>
        <v>173000</v>
      </c>
      <c r="N14" s="16">
        <f t="shared" si="1"/>
        <v>68000</v>
      </c>
      <c r="O14" s="16">
        <f t="shared" si="2"/>
        <v>46000</v>
      </c>
      <c r="P14" s="17">
        <f t="shared" si="3"/>
        <v>86500</v>
      </c>
      <c r="Q14" s="18">
        <f t="shared" si="4"/>
        <v>1.08125</v>
      </c>
      <c r="R14" s="20" t="str">
        <f>IF(M14&gt;=75000,"Target Achieved","Achieved")</f>
        <v>Target Achieved</v>
      </c>
      <c r="S14" s="27" t="str">
        <f>IF(AND(G14&gt;=125,H14&gt;=7),"YES","NO")</f>
        <v>NO</v>
      </c>
      <c r="T14" s="20" t="str">
        <f t="shared" si="5"/>
        <v>YES</v>
      </c>
      <c r="U14" s="20" t="str">
        <f t="shared" si="6"/>
        <v>A++</v>
      </c>
    </row>
    <row r="15" spans="1:21">
      <c r="A15" s="13">
        <v>9</v>
      </c>
      <c r="B15" s="13" t="s">
        <v>44</v>
      </c>
      <c r="C15" s="13" t="s">
        <v>30</v>
      </c>
      <c r="D15" s="13">
        <v>34</v>
      </c>
      <c r="E15" s="13" t="s">
        <v>42</v>
      </c>
      <c r="F15" s="14" t="s">
        <v>45</v>
      </c>
      <c r="G15" s="13">
        <v>140</v>
      </c>
      <c r="H15" s="13">
        <v>8</v>
      </c>
      <c r="I15" s="15">
        <v>200000</v>
      </c>
      <c r="J15" s="15">
        <v>69000</v>
      </c>
      <c r="K15" s="15">
        <v>69000</v>
      </c>
      <c r="L15" s="15">
        <v>34000</v>
      </c>
      <c r="M15" s="16">
        <f t="shared" si="0"/>
        <v>172000</v>
      </c>
      <c r="N15" s="16">
        <f t="shared" si="1"/>
        <v>69000</v>
      </c>
      <c r="O15" s="16">
        <f t="shared" si="2"/>
        <v>34000</v>
      </c>
      <c r="P15" s="17">
        <f t="shared" si="3"/>
        <v>86000</v>
      </c>
      <c r="Q15" s="18">
        <f t="shared" si="4"/>
        <v>0.86</v>
      </c>
      <c r="R15" s="20" t="str">
        <f>IF(M15&gt;=75000,"achieved","Not Achieved")</f>
        <v>achieved</v>
      </c>
      <c r="S15" s="27" t="str">
        <f>IF(AND(G15&gt;=125,H15&gt;=7),"YES","NO")</f>
        <v>YES</v>
      </c>
      <c r="T15" s="20" t="str">
        <f t="shared" si="5"/>
        <v>YES</v>
      </c>
      <c r="U15" s="20" t="str">
        <f t="shared" si="6"/>
        <v>A++</v>
      </c>
    </row>
    <row r="16" spans="1:21">
      <c r="A16" s="13">
        <v>4</v>
      </c>
      <c r="B16" s="13" t="s">
        <v>32</v>
      </c>
      <c r="C16" s="13" t="s">
        <v>30</v>
      </c>
      <c r="D16" s="13">
        <v>24</v>
      </c>
      <c r="E16" s="13" t="s">
        <v>33</v>
      </c>
      <c r="F16" s="14" t="s">
        <v>34</v>
      </c>
      <c r="G16" s="13">
        <v>146</v>
      </c>
      <c r="H16" s="13">
        <v>9</v>
      </c>
      <c r="I16" s="15">
        <v>140000</v>
      </c>
      <c r="J16" s="15">
        <v>73000</v>
      </c>
      <c r="K16" s="15">
        <v>47000</v>
      </c>
      <c r="L16" s="15">
        <v>51000</v>
      </c>
      <c r="M16" s="16">
        <f t="shared" si="0"/>
        <v>171000</v>
      </c>
      <c r="N16" s="16">
        <f t="shared" si="1"/>
        <v>73000</v>
      </c>
      <c r="O16" s="16">
        <f t="shared" si="2"/>
        <v>47000</v>
      </c>
      <c r="P16" s="17">
        <f t="shared" si="3"/>
        <v>85500</v>
      </c>
      <c r="Q16" s="18">
        <f t="shared" si="4"/>
        <v>1.2214285714285715</v>
      </c>
      <c r="R16" s="20" t="str">
        <f>IF(M16&gt;=75000,"achieved","Not Achieved")</f>
        <v>achieved</v>
      </c>
      <c r="S16" s="27" t="str">
        <f>IF(AND(G15&gt;=125,H15&gt;=8),"YES","NO")</f>
        <v>YES</v>
      </c>
      <c r="T16" s="20" t="str">
        <f t="shared" si="5"/>
        <v>YES</v>
      </c>
      <c r="U16" s="20" t="str">
        <f t="shared" si="6"/>
        <v>A+</v>
      </c>
    </row>
    <row r="17" spans="1:21">
      <c r="A17" s="13">
        <v>1</v>
      </c>
      <c r="B17" s="13" t="s">
        <v>22</v>
      </c>
      <c r="C17" s="13" t="s">
        <v>23</v>
      </c>
      <c r="D17" s="13">
        <v>36</v>
      </c>
      <c r="E17" s="13" t="s">
        <v>24</v>
      </c>
      <c r="F17" s="14" t="s">
        <v>25</v>
      </c>
      <c r="G17" s="13">
        <v>115</v>
      </c>
      <c r="H17" s="13">
        <v>8</v>
      </c>
      <c r="I17" s="15">
        <v>200000</v>
      </c>
      <c r="J17" s="15">
        <v>70000</v>
      </c>
      <c r="K17" s="15">
        <v>32000</v>
      </c>
      <c r="L17" s="15">
        <v>68000</v>
      </c>
      <c r="M17" s="16">
        <f t="shared" si="0"/>
        <v>170000</v>
      </c>
      <c r="N17" s="16">
        <f t="shared" si="1"/>
        <v>70000</v>
      </c>
      <c r="O17" s="16">
        <f t="shared" si="2"/>
        <v>32000</v>
      </c>
      <c r="P17" s="17">
        <f t="shared" si="3"/>
        <v>85000</v>
      </c>
      <c r="Q17" s="18">
        <f t="shared" si="4"/>
        <v>0.85</v>
      </c>
      <c r="R17" s="20" t="str">
        <f>IF(M17&gt;=75000,"achieved","Not Achieved")</f>
        <v>achieved</v>
      </c>
      <c r="S17" s="27" t="str">
        <f>IF(AND(G17&gt;=125,H17&gt;=7),"YES","NO")</f>
        <v>NO</v>
      </c>
      <c r="T17" s="20" t="str">
        <f t="shared" si="5"/>
        <v>YES</v>
      </c>
      <c r="U17" s="20" t="str">
        <f t="shared" si="6"/>
        <v>A++</v>
      </c>
    </row>
    <row r="18" spans="1:21">
      <c r="A18" s="13">
        <v>17</v>
      </c>
      <c r="B18" s="13" t="s">
        <v>59</v>
      </c>
      <c r="C18" s="13" t="s">
        <v>23</v>
      </c>
      <c r="D18" s="13">
        <v>40</v>
      </c>
      <c r="E18" s="13" t="s">
        <v>42</v>
      </c>
      <c r="F18" s="14" t="s">
        <v>60</v>
      </c>
      <c r="G18" s="13">
        <v>150</v>
      </c>
      <c r="H18" s="13">
        <v>4</v>
      </c>
      <c r="I18" s="15">
        <v>160000</v>
      </c>
      <c r="J18" s="15">
        <v>36000</v>
      </c>
      <c r="K18" s="15">
        <v>70000</v>
      </c>
      <c r="L18" s="15">
        <v>64000</v>
      </c>
      <c r="M18" s="16">
        <f t="shared" si="0"/>
        <v>170000</v>
      </c>
      <c r="N18" s="16">
        <f t="shared" si="1"/>
        <v>70000</v>
      </c>
      <c r="O18" s="16">
        <f t="shared" si="2"/>
        <v>36000</v>
      </c>
      <c r="P18" s="17">
        <f t="shared" si="3"/>
        <v>85000</v>
      </c>
      <c r="Q18" s="18">
        <f t="shared" si="4"/>
        <v>1.0625</v>
      </c>
      <c r="R18" s="20" t="str">
        <f>IF(M18&gt;=75000,"Target Achieved","Achieved")</f>
        <v>Target Achieved</v>
      </c>
      <c r="S18" s="27" t="str">
        <f>IF(AND(G18&gt;=125,H18&gt;=7),"YES","NO")</f>
        <v>NO</v>
      </c>
      <c r="T18" s="20" t="str">
        <f t="shared" si="5"/>
        <v>NO</v>
      </c>
      <c r="U18" s="20" t="str">
        <f t="shared" si="6"/>
        <v>A+</v>
      </c>
    </row>
    <row r="19" spans="1:21">
      <c r="A19" s="13">
        <v>34</v>
      </c>
      <c r="B19" s="13" t="s">
        <v>92</v>
      </c>
      <c r="C19" s="13" t="s">
        <v>23</v>
      </c>
      <c r="D19" s="13">
        <v>39</v>
      </c>
      <c r="E19" s="13" t="s">
        <v>33</v>
      </c>
      <c r="F19" s="14" t="s">
        <v>93</v>
      </c>
      <c r="G19" s="13">
        <v>120</v>
      </c>
      <c r="H19" s="22"/>
      <c r="I19" s="15">
        <v>160000</v>
      </c>
      <c r="J19" s="15">
        <v>40000</v>
      </c>
      <c r="K19" s="15">
        <v>61000</v>
      </c>
      <c r="L19" s="15">
        <v>64000</v>
      </c>
      <c r="M19" s="16">
        <f t="shared" si="0"/>
        <v>165000</v>
      </c>
      <c r="N19" s="16">
        <f t="shared" si="1"/>
        <v>64000</v>
      </c>
      <c r="O19" s="16">
        <f t="shared" si="2"/>
        <v>40000</v>
      </c>
      <c r="P19" s="17">
        <f t="shared" si="3"/>
        <v>82500</v>
      </c>
      <c r="Q19" s="18">
        <f t="shared" si="4"/>
        <v>1.03125</v>
      </c>
      <c r="R19" s="20" t="str">
        <f>IF(M19&gt;=75000,"Target Achieved","Achieved")</f>
        <v>Target Achieved</v>
      </c>
      <c r="S19" s="27" t="str">
        <f>IF(AND(G18&gt;=125,H18&gt;=8),"YES","NO")</f>
        <v>NO</v>
      </c>
      <c r="T19" s="20" t="str">
        <f t="shared" si="5"/>
        <v>NO</v>
      </c>
      <c r="U19" s="20" t="str">
        <f t="shared" si="6"/>
        <v>A++</v>
      </c>
    </row>
    <row r="20" spans="1:21">
      <c r="A20" s="13">
        <v>7</v>
      </c>
      <c r="B20" s="13" t="s">
        <v>39</v>
      </c>
      <c r="C20" s="13" t="s">
        <v>23</v>
      </c>
      <c r="D20" s="22"/>
      <c r="E20" s="13" t="s">
        <v>24</v>
      </c>
      <c r="F20" s="14" t="s">
        <v>40</v>
      </c>
      <c r="G20" s="13">
        <v>139</v>
      </c>
      <c r="H20" s="13">
        <v>5</v>
      </c>
      <c r="I20" s="15">
        <v>180000</v>
      </c>
      <c r="J20" s="15">
        <v>60000</v>
      </c>
      <c r="K20" s="15">
        <v>66000</v>
      </c>
      <c r="L20" s="15">
        <v>38000</v>
      </c>
      <c r="M20" s="16">
        <f t="shared" si="0"/>
        <v>164000</v>
      </c>
      <c r="N20" s="16">
        <f t="shared" si="1"/>
        <v>66000</v>
      </c>
      <c r="O20" s="16">
        <f t="shared" si="2"/>
        <v>38000</v>
      </c>
      <c r="P20" s="17">
        <f t="shared" si="3"/>
        <v>82000</v>
      </c>
      <c r="Q20" s="18">
        <f t="shared" si="4"/>
        <v>0.91111111111111109</v>
      </c>
      <c r="R20" s="20" t="str">
        <f>IF(M20&gt;=75000,"achieved","Not Achieved")</f>
        <v>achieved</v>
      </c>
      <c r="S20" s="27" t="str">
        <f>IF(AND(G20&gt;=125,H20&gt;=7),"YES","NO")</f>
        <v>NO</v>
      </c>
      <c r="T20" s="20" t="str">
        <f t="shared" si="5"/>
        <v>YES</v>
      </c>
      <c r="U20" s="20" t="str">
        <f t="shared" si="6"/>
        <v>A++</v>
      </c>
    </row>
    <row r="21" spans="1:21">
      <c r="A21" s="6">
        <v>40</v>
      </c>
      <c r="B21" s="6" t="s">
        <v>103</v>
      </c>
      <c r="C21" s="6" t="s">
        <v>30</v>
      </c>
      <c r="D21" s="6">
        <v>37</v>
      </c>
      <c r="E21" s="6" t="s">
        <v>24</v>
      </c>
      <c r="F21" s="7" t="s">
        <v>104</v>
      </c>
      <c r="G21" s="6">
        <v>149</v>
      </c>
      <c r="H21" s="6">
        <v>10</v>
      </c>
      <c r="I21" s="8">
        <v>140000</v>
      </c>
      <c r="J21" s="8">
        <v>58000</v>
      </c>
      <c r="K21" s="8">
        <v>57000</v>
      </c>
      <c r="L21" s="8">
        <v>46000</v>
      </c>
      <c r="M21" s="5">
        <f t="shared" si="0"/>
        <v>161000</v>
      </c>
      <c r="N21" s="5">
        <f t="shared" si="1"/>
        <v>58000</v>
      </c>
      <c r="O21" s="5">
        <f t="shared" si="2"/>
        <v>46000</v>
      </c>
      <c r="P21" s="9">
        <f t="shared" si="3"/>
        <v>80500</v>
      </c>
      <c r="Q21" s="10">
        <f t="shared" si="4"/>
        <v>1.1499999999999999</v>
      </c>
      <c r="R21" s="20" t="str">
        <f>IF(M21&gt;=75000,"Target Achieved","Achieved")</f>
        <v>Target Achieved</v>
      </c>
      <c r="S21" s="27" t="str">
        <f>IF(AND(G21&gt;=125,H21&gt;=7),"YES","NO")</f>
        <v>YES</v>
      </c>
      <c r="T21" s="20" t="str">
        <f t="shared" si="5"/>
        <v>YES</v>
      </c>
      <c r="U21" s="20" t="str">
        <f t="shared" si="6"/>
        <v>A++</v>
      </c>
    </row>
    <row r="22" spans="1:21">
      <c r="A22" s="13">
        <v>15</v>
      </c>
      <c r="B22" s="13" t="s">
        <v>55</v>
      </c>
      <c r="C22" s="13" t="s">
        <v>30</v>
      </c>
      <c r="D22" s="13">
        <v>43</v>
      </c>
      <c r="E22" s="13" t="s">
        <v>33</v>
      </c>
      <c r="F22" s="14" t="s">
        <v>56</v>
      </c>
      <c r="G22" s="13">
        <v>118</v>
      </c>
      <c r="H22" s="13">
        <v>5</v>
      </c>
      <c r="I22" s="15">
        <v>160000</v>
      </c>
      <c r="J22" s="15">
        <v>52000</v>
      </c>
      <c r="K22" s="15">
        <v>32000</v>
      </c>
      <c r="L22" s="15">
        <v>75000</v>
      </c>
      <c r="M22" s="16">
        <f t="shared" si="0"/>
        <v>159000</v>
      </c>
      <c r="N22" s="16">
        <f t="shared" si="1"/>
        <v>75000</v>
      </c>
      <c r="O22" s="16">
        <f t="shared" si="2"/>
        <v>32000</v>
      </c>
      <c r="P22" s="17">
        <f t="shared" si="3"/>
        <v>79500</v>
      </c>
      <c r="Q22" s="18">
        <f t="shared" si="4"/>
        <v>0.99375000000000002</v>
      </c>
      <c r="R22" s="20" t="str">
        <f>IF(M22&gt;=75000,"achieved","Not Achieved")</f>
        <v>achieved</v>
      </c>
      <c r="S22" s="27" t="str">
        <f>IF(AND(G22&gt;=125,H22&gt;=7),"YES","NO")</f>
        <v>NO</v>
      </c>
      <c r="T22" s="20" t="str">
        <f t="shared" si="5"/>
        <v>YES</v>
      </c>
      <c r="U22" s="20" t="str">
        <f t="shared" si="6"/>
        <v>A++</v>
      </c>
    </row>
    <row r="23" spans="1:21">
      <c r="A23" s="13">
        <v>24</v>
      </c>
      <c r="B23" s="13" t="s">
        <v>73</v>
      </c>
      <c r="C23" s="13" t="s">
        <v>23</v>
      </c>
      <c r="D23" s="13">
        <v>29</v>
      </c>
      <c r="E23" s="13" t="s">
        <v>33</v>
      </c>
      <c r="F23" s="14" t="s">
        <v>74</v>
      </c>
      <c r="G23" s="13">
        <v>136</v>
      </c>
      <c r="H23" s="13">
        <v>8</v>
      </c>
      <c r="I23" s="15">
        <v>120000</v>
      </c>
      <c r="J23" s="15">
        <v>46000</v>
      </c>
      <c r="K23" s="15">
        <v>38000</v>
      </c>
      <c r="L23" s="15">
        <v>74000</v>
      </c>
      <c r="M23" s="16">
        <f t="shared" si="0"/>
        <v>158000</v>
      </c>
      <c r="N23" s="16">
        <f t="shared" si="1"/>
        <v>74000</v>
      </c>
      <c r="O23" s="16">
        <f t="shared" si="2"/>
        <v>38000</v>
      </c>
      <c r="P23" s="17">
        <f t="shared" si="3"/>
        <v>79000</v>
      </c>
      <c r="Q23" s="18">
        <f t="shared" si="4"/>
        <v>1.3166666666666667</v>
      </c>
      <c r="R23" s="20" t="str">
        <f>IF(M23&gt;=75000,"Target Achieved","Achieved")</f>
        <v>Target Achieved</v>
      </c>
      <c r="S23" s="27" t="str">
        <f>IF(AND(G22&gt;=125,H22&gt;=8),"YES","NO")</f>
        <v>NO</v>
      </c>
      <c r="T23" s="20" t="str">
        <f t="shared" si="5"/>
        <v>NO</v>
      </c>
      <c r="U23" s="20" t="str">
        <f t="shared" si="6"/>
        <v>A++</v>
      </c>
    </row>
    <row r="24" spans="1:21">
      <c r="A24" s="13">
        <v>26</v>
      </c>
      <c r="B24" s="13" t="s">
        <v>77</v>
      </c>
      <c r="C24" s="13" t="s">
        <v>23</v>
      </c>
      <c r="D24" s="13">
        <v>42</v>
      </c>
      <c r="E24" s="13" t="s">
        <v>42</v>
      </c>
      <c r="F24" s="14" t="s">
        <v>78</v>
      </c>
      <c r="G24" s="13">
        <v>144</v>
      </c>
      <c r="H24" s="13">
        <v>8</v>
      </c>
      <c r="I24" s="15">
        <v>180000</v>
      </c>
      <c r="J24" s="15">
        <v>38000</v>
      </c>
      <c r="K24" s="15">
        <v>44000</v>
      </c>
      <c r="L24" s="15">
        <v>70000</v>
      </c>
      <c r="M24" s="16">
        <f t="shared" si="0"/>
        <v>152000</v>
      </c>
      <c r="N24" s="16">
        <f t="shared" si="1"/>
        <v>70000</v>
      </c>
      <c r="O24" s="16">
        <f t="shared" si="2"/>
        <v>38000</v>
      </c>
      <c r="P24" s="17">
        <f t="shared" si="3"/>
        <v>76000</v>
      </c>
      <c r="Q24" s="18">
        <f t="shared" si="4"/>
        <v>0.84444444444444444</v>
      </c>
      <c r="R24" s="20" t="str">
        <f>IF(M24&gt;=75000,"Target Achieved","Achieved")</f>
        <v>Target Achieved</v>
      </c>
      <c r="S24" s="27" t="str">
        <f>IF(AND(G23&gt;=125,H23&gt;=8),"YES","NO")</f>
        <v>YES</v>
      </c>
      <c r="T24" s="20" t="str">
        <f t="shared" si="5"/>
        <v>NO</v>
      </c>
      <c r="U24" s="20" t="str">
        <f t="shared" si="6"/>
        <v>A++</v>
      </c>
    </row>
    <row r="25" spans="1:21">
      <c r="A25" s="13">
        <v>32</v>
      </c>
      <c r="B25" s="13" t="s">
        <v>88</v>
      </c>
      <c r="C25" s="13" t="s">
        <v>23</v>
      </c>
      <c r="D25" s="13">
        <v>25</v>
      </c>
      <c r="E25" s="13" t="s">
        <v>24</v>
      </c>
      <c r="F25" s="14" t="s">
        <v>89</v>
      </c>
      <c r="G25" s="13">
        <v>146</v>
      </c>
      <c r="H25" s="13">
        <v>5</v>
      </c>
      <c r="I25" s="15">
        <v>180000</v>
      </c>
      <c r="J25" s="15">
        <v>34000</v>
      </c>
      <c r="K25" s="15">
        <v>54000</v>
      </c>
      <c r="L25" s="15">
        <v>62000</v>
      </c>
      <c r="M25" s="16">
        <f t="shared" si="0"/>
        <v>150000</v>
      </c>
      <c r="N25" s="16">
        <f t="shared" si="1"/>
        <v>62000</v>
      </c>
      <c r="O25" s="16">
        <f t="shared" si="2"/>
        <v>34000</v>
      </c>
      <c r="P25" s="17">
        <f t="shared" si="3"/>
        <v>75000</v>
      </c>
      <c r="Q25" s="18">
        <f t="shared" si="4"/>
        <v>0.83333333333333337</v>
      </c>
      <c r="R25" s="20" t="str">
        <f>IF(M25&gt;=75000,"Target Achieved","Achieved")</f>
        <v>Target Achieved</v>
      </c>
      <c r="S25" s="27" t="str">
        <f>IF(AND(G24&gt;=125,H24&gt;=8),"YES","NO")</f>
        <v>YES</v>
      </c>
      <c r="T25" s="20" t="str">
        <f t="shared" si="5"/>
        <v>NO</v>
      </c>
      <c r="U25" s="20" t="str">
        <f t="shared" si="6"/>
        <v>A</v>
      </c>
    </row>
    <row r="26" spans="1:21">
      <c r="A26" s="13">
        <v>23</v>
      </c>
      <c r="B26" s="13" t="s">
        <v>71</v>
      </c>
      <c r="C26" s="13" t="s">
        <v>30</v>
      </c>
      <c r="D26" s="13">
        <v>25</v>
      </c>
      <c r="E26" s="13" t="s">
        <v>24</v>
      </c>
      <c r="F26" s="14" t="s">
        <v>72</v>
      </c>
      <c r="G26" s="13">
        <v>117</v>
      </c>
      <c r="H26" s="13">
        <v>7</v>
      </c>
      <c r="I26" s="15">
        <v>120000</v>
      </c>
      <c r="J26" s="15">
        <v>74000</v>
      </c>
      <c r="K26" s="15">
        <v>40000</v>
      </c>
      <c r="L26" s="15">
        <v>34000</v>
      </c>
      <c r="M26" s="16">
        <f t="shared" si="0"/>
        <v>148000</v>
      </c>
      <c r="N26" s="16">
        <f t="shared" si="1"/>
        <v>74000</v>
      </c>
      <c r="O26" s="16">
        <f t="shared" si="2"/>
        <v>34000</v>
      </c>
      <c r="P26" s="17">
        <f t="shared" si="3"/>
        <v>74000</v>
      </c>
      <c r="Q26" s="18">
        <f t="shared" si="4"/>
        <v>1.2333333333333334</v>
      </c>
      <c r="R26" s="20" t="str">
        <f>IF(M26&gt;=75000,"Target Achieved","Achieved")</f>
        <v>Target Achieved</v>
      </c>
      <c r="S26" s="27" t="str">
        <f>IF(AND(G26&gt;=125,H26&gt;=7),"YES","NO")</f>
        <v>NO</v>
      </c>
      <c r="T26" s="20" t="str">
        <f t="shared" si="5"/>
        <v>NO</v>
      </c>
      <c r="U26" s="20" t="str">
        <f t="shared" si="6"/>
        <v>A</v>
      </c>
    </row>
    <row r="27" spans="1:21">
      <c r="A27" s="13">
        <v>6</v>
      </c>
      <c r="B27" s="13" t="s">
        <v>37</v>
      </c>
      <c r="C27" s="13" t="s">
        <v>30</v>
      </c>
      <c r="D27" s="13">
        <v>28</v>
      </c>
      <c r="E27" s="13" t="s">
        <v>33</v>
      </c>
      <c r="F27" s="14" t="s">
        <v>38</v>
      </c>
      <c r="G27" s="13">
        <v>116</v>
      </c>
      <c r="H27" s="13">
        <v>4</v>
      </c>
      <c r="I27" s="15">
        <v>140000</v>
      </c>
      <c r="J27" s="15">
        <v>43000</v>
      </c>
      <c r="K27" s="15">
        <v>58000</v>
      </c>
      <c r="L27" s="15">
        <v>46000</v>
      </c>
      <c r="M27" s="16">
        <f t="shared" si="0"/>
        <v>147000</v>
      </c>
      <c r="N27" s="16">
        <f t="shared" si="1"/>
        <v>58000</v>
      </c>
      <c r="O27" s="16">
        <f t="shared" si="2"/>
        <v>43000</v>
      </c>
      <c r="P27" s="17">
        <f t="shared" si="3"/>
        <v>73500</v>
      </c>
      <c r="Q27" s="18">
        <f t="shared" si="4"/>
        <v>1.05</v>
      </c>
      <c r="R27" s="20" t="str">
        <f>IF(M27&gt;=75000,"achieved","Not Achieved")</f>
        <v>achieved</v>
      </c>
      <c r="S27" s="27" t="str">
        <f>IF(AND(G26&gt;=125,H26&gt;=8),"YES","NO")</f>
        <v>NO</v>
      </c>
      <c r="T27" s="20" t="str">
        <f t="shared" si="5"/>
        <v>YES</v>
      </c>
      <c r="U27" s="20" t="str">
        <f t="shared" si="6"/>
        <v>A++</v>
      </c>
    </row>
    <row r="28" spans="1:21">
      <c r="A28" s="13">
        <v>16</v>
      </c>
      <c r="B28" s="13" t="s">
        <v>57</v>
      </c>
      <c r="C28" s="13" t="s">
        <v>23</v>
      </c>
      <c r="D28" s="13">
        <v>36</v>
      </c>
      <c r="E28" s="13" t="s">
        <v>42</v>
      </c>
      <c r="F28" s="14" t="s">
        <v>58</v>
      </c>
      <c r="G28" s="13">
        <v>130</v>
      </c>
      <c r="H28" s="13">
        <v>4</v>
      </c>
      <c r="I28" s="15">
        <v>120000</v>
      </c>
      <c r="J28" s="15">
        <v>47000</v>
      </c>
      <c r="K28" s="15">
        <v>68000</v>
      </c>
      <c r="L28" s="15">
        <v>32000</v>
      </c>
      <c r="M28" s="16">
        <f t="shared" si="0"/>
        <v>147000</v>
      </c>
      <c r="N28" s="16">
        <f t="shared" si="1"/>
        <v>68000</v>
      </c>
      <c r="O28" s="16">
        <f t="shared" si="2"/>
        <v>32000</v>
      </c>
      <c r="P28" s="17">
        <f t="shared" si="3"/>
        <v>73500</v>
      </c>
      <c r="Q28" s="18">
        <f t="shared" si="4"/>
        <v>1.2250000000000001</v>
      </c>
      <c r="R28" s="20" t="str">
        <f>IF(M28&gt;=75000,"achieved","Not Achieved")</f>
        <v>achieved</v>
      </c>
      <c r="S28" s="27" t="str">
        <f>IF(AND(G27&gt;=125,H27&gt;=8),"YES","NO")</f>
        <v>NO</v>
      </c>
      <c r="T28" s="20" t="str">
        <f t="shared" si="5"/>
        <v>YES</v>
      </c>
      <c r="U28" s="20" t="str">
        <f t="shared" si="6"/>
        <v>A++</v>
      </c>
    </row>
    <row r="29" spans="1:21">
      <c r="A29" s="13">
        <v>35</v>
      </c>
      <c r="B29" s="13" t="s">
        <v>94</v>
      </c>
      <c r="C29" s="13" t="s">
        <v>23</v>
      </c>
      <c r="D29" s="13">
        <v>31</v>
      </c>
      <c r="E29" s="13" t="s">
        <v>33</v>
      </c>
      <c r="F29" s="14" t="s">
        <v>95</v>
      </c>
      <c r="G29" s="13">
        <v>128</v>
      </c>
      <c r="H29" s="13">
        <v>4</v>
      </c>
      <c r="I29" s="15">
        <v>120000</v>
      </c>
      <c r="J29" s="15">
        <v>45000</v>
      </c>
      <c r="K29" s="15">
        <v>67000</v>
      </c>
      <c r="L29" s="15">
        <v>32000</v>
      </c>
      <c r="M29" s="16">
        <f t="shared" si="0"/>
        <v>144000</v>
      </c>
      <c r="N29" s="16">
        <f t="shared" si="1"/>
        <v>67000</v>
      </c>
      <c r="O29" s="16">
        <f t="shared" si="2"/>
        <v>32000</v>
      </c>
      <c r="P29" s="17">
        <f t="shared" si="3"/>
        <v>72000</v>
      </c>
      <c r="Q29" s="18">
        <f t="shared" si="4"/>
        <v>1.2</v>
      </c>
      <c r="R29" s="20" t="str">
        <f>IF(M29&gt;=75000,"Target Achieved","Achieved")</f>
        <v>Target Achieved</v>
      </c>
      <c r="S29" s="27" t="str">
        <f>IF(AND(G29&gt;=125,H29&gt;=7),"YES","NO")</f>
        <v>NO</v>
      </c>
      <c r="T29" s="20" t="str">
        <f t="shared" si="5"/>
        <v>NO</v>
      </c>
      <c r="U29" s="20" t="str">
        <f t="shared" si="6"/>
        <v>A++</v>
      </c>
    </row>
    <row r="30" spans="1:21">
      <c r="A30" s="13">
        <v>13</v>
      </c>
      <c r="B30" s="13" t="s">
        <v>51</v>
      </c>
      <c r="C30" s="13" t="s">
        <v>30</v>
      </c>
      <c r="D30" s="13">
        <v>24</v>
      </c>
      <c r="E30" s="13" t="s">
        <v>33</v>
      </c>
      <c r="F30" s="14" t="s">
        <v>52</v>
      </c>
      <c r="G30" s="13">
        <v>144</v>
      </c>
      <c r="H30" s="13">
        <v>4</v>
      </c>
      <c r="I30" s="15">
        <v>180000</v>
      </c>
      <c r="J30" s="15">
        <v>62000</v>
      </c>
      <c r="K30" s="15">
        <v>31000</v>
      </c>
      <c r="L30" s="15">
        <v>49000</v>
      </c>
      <c r="M30" s="16">
        <f t="shared" si="0"/>
        <v>142000</v>
      </c>
      <c r="N30" s="16">
        <f t="shared" si="1"/>
        <v>62000</v>
      </c>
      <c r="O30" s="16">
        <f t="shared" si="2"/>
        <v>31000</v>
      </c>
      <c r="P30" s="17">
        <f t="shared" si="3"/>
        <v>71000</v>
      </c>
      <c r="Q30" s="18">
        <f t="shared" si="4"/>
        <v>0.78888888888888886</v>
      </c>
      <c r="R30" s="20" t="str">
        <f>IF(M30&gt;=75000,"achieved","Not Achieved")</f>
        <v>achieved</v>
      </c>
      <c r="S30" s="27" t="str">
        <f>IF(AND(G30&gt;=125,H30&gt;=7),"YES","NO")</f>
        <v>NO</v>
      </c>
      <c r="T30" s="20" t="str">
        <f t="shared" si="5"/>
        <v>YES</v>
      </c>
      <c r="U30" s="20" t="str">
        <f t="shared" si="6"/>
        <v>A++</v>
      </c>
    </row>
    <row r="31" spans="1:21">
      <c r="A31" s="13">
        <v>30</v>
      </c>
      <c r="B31" s="13" t="s">
        <v>84</v>
      </c>
      <c r="C31" s="13" t="s">
        <v>23</v>
      </c>
      <c r="D31" s="13">
        <v>33</v>
      </c>
      <c r="E31" s="13" t="s">
        <v>33</v>
      </c>
      <c r="F31" s="14" t="s">
        <v>85</v>
      </c>
      <c r="G31" s="13">
        <v>148</v>
      </c>
      <c r="H31" s="13">
        <v>5</v>
      </c>
      <c r="I31" s="15">
        <v>120000</v>
      </c>
      <c r="J31" s="15">
        <v>62000</v>
      </c>
      <c r="K31" s="15">
        <v>30000</v>
      </c>
      <c r="L31" s="15">
        <v>50000</v>
      </c>
      <c r="M31" s="16">
        <f t="shared" si="0"/>
        <v>142000</v>
      </c>
      <c r="N31" s="16">
        <f t="shared" si="1"/>
        <v>62000</v>
      </c>
      <c r="O31" s="16">
        <f t="shared" si="2"/>
        <v>30000</v>
      </c>
      <c r="P31" s="17">
        <f t="shared" si="3"/>
        <v>71000</v>
      </c>
      <c r="Q31" s="18">
        <f t="shared" si="4"/>
        <v>1.1833333333333333</v>
      </c>
      <c r="R31" s="20" t="str">
        <f>IF(M31&gt;=75000,"Target Achieved","Achieved")</f>
        <v>Target Achieved</v>
      </c>
      <c r="S31" s="27" t="str">
        <f>IF(AND(G30&gt;=125,H30&gt;=8),"YES","NO")</f>
        <v>NO</v>
      </c>
      <c r="T31" s="20" t="str">
        <f t="shared" si="5"/>
        <v>NO</v>
      </c>
      <c r="U31" s="20" t="str">
        <f t="shared" si="6"/>
        <v>A</v>
      </c>
    </row>
    <row r="32" spans="1:21">
      <c r="A32" s="13">
        <v>20</v>
      </c>
      <c r="B32" s="13" t="s">
        <v>65</v>
      </c>
      <c r="C32" s="13" t="s">
        <v>30</v>
      </c>
      <c r="D32" s="13">
        <v>44</v>
      </c>
      <c r="E32" s="13" t="s">
        <v>24</v>
      </c>
      <c r="F32" s="14" t="s">
        <v>66</v>
      </c>
      <c r="G32" s="13">
        <v>132</v>
      </c>
      <c r="H32" s="22"/>
      <c r="I32" s="15">
        <v>120000</v>
      </c>
      <c r="J32" s="15">
        <v>32000</v>
      </c>
      <c r="K32" s="15">
        <v>58000</v>
      </c>
      <c r="L32" s="15">
        <v>51000</v>
      </c>
      <c r="M32" s="16">
        <f t="shared" si="0"/>
        <v>141000</v>
      </c>
      <c r="N32" s="16">
        <f t="shared" si="1"/>
        <v>58000</v>
      </c>
      <c r="O32" s="16">
        <f t="shared" si="2"/>
        <v>32000</v>
      </c>
      <c r="P32" s="17">
        <f t="shared" si="3"/>
        <v>70500</v>
      </c>
      <c r="Q32" s="18">
        <f t="shared" si="4"/>
        <v>1.175</v>
      </c>
      <c r="R32" s="20" t="str">
        <f>IF(M32&gt;=75000,"Target Achieved","Achieved")</f>
        <v>Target Achieved</v>
      </c>
      <c r="S32" s="27" t="str">
        <f>IF(AND(G31&gt;=125,H31&gt;=8),"YES","NO")</f>
        <v>NO</v>
      </c>
      <c r="T32" s="20" t="str">
        <f t="shared" si="5"/>
        <v>NO</v>
      </c>
      <c r="U32" s="20" t="str">
        <f t="shared" si="6"/>
        <v>A++</v>
      </c>
    </row>
    <row r="33" spans="1:21">
      <c r="A33" s="13">
        <v>31</v>
      </c>
      <c r="B33" s="13" t="s">
        <v>86</v>
      </c>
      <c r="C33" s="13" t="s">
        <v>23</v>
      </c>
      <c r="D33" s="13">
        <v>28</v>
      </c>
      <c r="E33" s="13" t="s">
        <v>33</v>
      </c>
      <c r="F33" s="14" t="s">
        <v>87</v>
      </c>
      <c r="G33" s="13">
        <v>137</v>
      </c>
      <c r="H33" s="13">
        <v>10</v>
      </c>
      <c r="I33" s="15">
        <v>140000</v>
      </c>
      <c r="J33" s="15">
        <v>55000</v>
      </c>
      <c r="K33" s="15">
        <v>43000</v>
      </c>
      <c r="L33" s="15">
        <v>41000</v>
      </c>
      <c r="M33" s="16">
        <f t="shared" si="0"/>
        <v>139000</v>
      </c>
      <c r="N33" s="16">
        <f t="shared" si="1"/>
        <v>55000</v>
      </c>
      <c r="O33" s="16">
        <f t="shared" si="2"/>
        <v>41000</v>
      </c>
      <c r="P33" s="17">
        <f t="shared" si="3"/>
        <v>69500</v>
      </c>
      <c r="Q33" s="18">
        <f t="shared" si="4"/>
        <v>0.99285714285714288</v>
      </c>
      <c r="R33" s="20" t="str">
        <f>IF(M33&gt;=75000,"Target Achieved","Achieved")</f>
        <v>Target Achieved</v>
      </c>
      <c r="S33" s="27" t="str">
        <f>IF(AND(G33&gt;=125,H33&gt;=7),"YES","NO")</f>
        <v>YES</v>
      </c>
      <c r="T33" s="20" t="str">
        <f t="shared" si="5"/>
        <v>YES</v>
      </c>
      <c r="U33" s="20" t="str">
        <f t="shared" si="6"/>
        <v>A++</v>
      </c>
    </row>
    <row r="34" spans="1:21">
      <c r="A34" s="13">
        <v>3</v>
      </c>
      <c r="B34" s="13" t="s">
        <v>29</v>
      </c>
      <c r="C34" s="13" t="s">
        <v>30</v>
      </c>
      <c r="D34" s="13">
        <v>37</v>
      </c>
      <c r="E34" s="13" t="s">
        <v>24</v>
      </c>
      <c r="F34" s="14" t="s">
        <v>31</v>
      </c>
      <c r="G34" s="13">
        <v>142</v>
      </c>
      <c r="H34" s="13">
        <v>6</v>
      </c>
      <c r="I34" s="15">
        <v>120000</v>
      </c>
      <c r="J34" s="15">
        <v>34000</v>
      </c>
      <c r="K34" s="15">
        <v>66000</v>
      </c>
      <c r="L34" s="15">
        <v>36000</v>
      </c>
      <c r="M34" s="16">
        <f t="shared" si="0"/>
        <v>136000</v>
      </c>
      <c r="N34" s="16">
        <f t="shared" si="1"/>
        <v>66000</v>
      </c>
      <c r="O34" s="16">
        <f t="shared" si="2"/>
        <v>34000</v>
      </c>
      <c r="P34" s="17">
        <f t="shared" si="3"/>
        <v>68000</v>
      </c>
      <c r="Q34" s="18">
        <f t="shared" si="4"/>
        <v>1.1333333333333333</v>
      </c>
      <c r="R34" s="20" t="str">
        <f>IF(M34&gt;=75000,"achieved","Not Achieved")</f>
        <v>achieved</v>
      </c>
      <c r="S34" s="27" t="str">
        <f>IF(AND(G34&gt;=125,H34&gt;=7),"YES","NO")</f>
        <v>NO</v>
      </c>
      <c r="T34" s="20" t="str">
        <f t="shared" si="5"/>
        <v>YES</v>
      </c>
      <c r="U34" s="20" t="str">
        <f t="shared" si="6"/>
        <v>A++</v>
      </c>
    </row>
    <row r="35" spans="1:21">
      <c r="A35" s="13">
        <v>5</v>
      </c>
      <c r="B35" s="13" t="s">
        <v>35</v>
      </c>
      <c r="C35" s="13" t="s">
        <v>23</v>
      </c>
      <c r="D35" s="13">
        <v>35</v>
      </c>
      <c r="E35" s="13" t="s">
        <v>24</v>
      </c>
      <c r="F35" s="14" t="s">
        <v>36</v>
      </c>
      <c r="G35" s="13">
        <v>122</v>
      </c>
      <c r="H35" s="13">
        <v>7</v>
      </c>
      <c r="I35" s="15">
        <v>180000</v>
      </c>
      <c r="J35" s="15">
        <v>42000</v>
      </c>
      <c r="K35" s="15">
        <v>38000</v>
      </c>
      <c r="L35" s="15">
        <v>56000</v>
      </c>
      <c r="M35" s="16">
        <f t="shared" si="0"/>
        <v>136000</v>
      </c>
      <c r="N35" s="16">
        <f t="shared" si="1"/>
        <v>56000</v>
      </c>
      <c r="O35" s="16">
        <f t="shared" si="2"/>
        <v>38000</v>
      </c>
      <c r="P35" s="17">
        <f t="shared" si="3"/>
        <v>68000</v>
      </c>
      <c r="Q35" s="18">
        <f t="shared" si="4"/>
        <v>0.75555555555555554</v>
      </c>
      <c r="R35" s="20" t="str">
        <f>IF(M35&gt;=75000,"achieved","Not Achieved")</f>
        <v>achieved</v>
      </c>
      <c r="S35" s="27" t="str">
        <f>IF(AND(G35&gt;=125,H35&gt;=7),"YES","NO")</f>
        <v>NO</v>
      </c>
      <c r="T35" s="20" t="str">
        <f t="shared" si="5"/>
        <v>YES</v>
      </c>
      <c r="U35" s="20" t="str">
        <f t="shared" si="6"/>
        <v>A++</v>
      </c>
    </row>
    <row r="36" spans="1:21">
      <c r="A36" s="13">
        <v>36</v>
      </c>
      <c r="B36" s="13" t="s">
        <v>96</v>
      </c>
      <c r="C36" s="13" t="s">
        <v>23</v>
      </c>
      <c r="D36" s="13">
        <v>23</v>
      </c>
      <c r="E36" s="13" t="s">
        <v>27</v>
      </c>
      <c r="F36" s="14" t="s">
        <v>97</v>
      </c>
      <c r="G36" s="13">
        <v>125</v>
      </c>
      <c r="H36" s="13">
        <v>4</v>
      </c>
      <c r="I36" s="15">
        <v>180000</v>
      </c>
      <c r="J36" s="15">
        <v>36000</v>
      </c>
      <c r="K36" s="15">
        <v>59000</v>
      </c>
      <c r="L36" s="15">
        <v>39000</v>
      </c>
      <c r="M36" s="16">
        <f t="shared" si="0"/>
        <v>134000</v>
      </c>
      <c r="N36" s="16">
        <f t="shared" si="1"/>
        <v>59000</v>
      </c>
      <c r="O36" s="16">
        <f t="shared" si="2"/>
        <v>36000</v>
      </c>
      <c r="P36" s="17">
        <f t="shared" si="3"/>
        <v>67000</v>
      </c>
      <c r="Q36" s="18">
        <f t="shared" si="4"/>
        <v>0.74444444444444446</v>
      </c>
      <c r="R36" s="20" t="str">
        <f>IF(M36&gt;=75000,"Target Achieved","Achieved")</f>
        <v>Target Achieved</v>
      </c>
      <c r="S36" s="27" t="str">
        <f>IF(AND(G35&gt;=125,H35&gt;=8),"YES","NO")</f>
        <v>NO</v>
      </c>
      <c r="T36" s="20" t="str">
        <f t="shared" si="5"/>
        <v>NO</v>
      </c>
      <c r="U36" s="20" t="str">
        <f t="shared" si="6"/>
        <v>A</v>
      </c>
    </row>
    <row r="37" spans="1:21">
      <c r="A37" s="13">
        <v>11</v>
      </c>
      <c r="B37" s="13" t="s">
        <v>26</v>
      </c>
      <c r="C37" s="13" t="s">
        <v>23</v>
      </c>
      <c r="D37" s="13">
        <v>44</v>
      </c>
      <c r="E37" s="13" t="s">
        <v>27</v>
      </c>
      <c r="F37" s="14" t="s">
        <v>48</v>
      </c>
      <c r="G37" s="13">
        <v>150</v>
      </c>
      <c r="H37" s="13">
        <v>4</v>
      </c>
      <c r="I37" s="15">
        <v>160000</v>
      </c>
      <c r="J37" s="15">
        <v>34000</v>
      </c>
      <c r="K37" s="15">
        <v>49000</v>
      </c>
      <c r="L37" s="15">
        <v>50000</v>
      </c>
      <c r="M37" s="16">
        <f t="shared" si="0"/>
        <v>133000</v>
      </c>
      <c r="N37" s="16">
        <f t="shared" si="1"/>
        <v>50000</v>
      </c>
      <c r="O37" s="16">
        <f t="shared" si="2"/>
        <v>34000</v>
      </c>
      <c r="P37" s="17">
        <f t="shared" si="3"/>
        <v>66500</v>
      </c>
      <c r="Q37" s="18">
        <f t="shared" si="4"/>
        <v>0.83125000000000004</v>
      </c>
      <c r="R37" s="20" t="str">
        <f>IF(M37&gt;=75000,"achieved","Not Achieved")</f>
        <v>achieved</v>
      </c>
      <c r="S37" s="27" t="str">
        <f>IF(AND(G37&gt;=125,H37&gt;=7),"YES","NO")</f>
        <v>NO</v>
      </c>
      <c r="T37" s="20" t="str">
        <f t="shared" si="5"/>
        <v>YES</v>
      </c>
      <c r="U37" s="20" t="str">
        <f t="shared" si="6"/>
        <v>B</v>
      </c>
    </row>
    <row r="38" spans="1:21">
      <c r="A38" s="13">
        <v>28</v>
      </c>
      <c r="B38" s="13" t="s">
        <v>81</v>
      </c>
      <c r="C38" s="13" t="s">
        <v>23</v>
      </c>
      <c r="D38" s="22"/>
      <c r="E38" s="13" t="s">
        <v>24</v>
      </c>
      <c r="F38" s="14" t="s">
        <v>82</v>
      </c>
      <c r="G38" s="13">
        <v>114</v>
      </c>
      <c r="H38" s="13">
        <v>7</v>
      </c>
      <c r="I38" s="15">
        <v>120000</v>
      </c>
      <c r="J38" s="15">
        <v>31000</v>
      </c>
      <c r="K38" s="15">
        <v>32000</v>
      </c>
      <c r="L38" s="15">
        <v>65000</v>
      </c>
      <c r="M38" s="16">
        <f t="shared" si="0"/>
        <v>128000</v>
      </c>
      <c r="N38" s="16">
        <f t="shared" si="1"/>
        <v>65000</v>
      </c>
      <c r="O38" s="16">
        <f t="shared" si="2"/>
        <v>31000</v>
      </c>
      <c r="P38" s="17">
        <f t="shared" si="3"/>
        <v>64000</v>
      </c>
      <c r="Q38" s="18">
        <f t="shared" si="4"/>
        <v>1.0666666666666667</v>
      </c>
      <c r="R38" s="20" t="str">
        <f>IF(M38&gt;=75000,"Target Achieved","Achieved")</f>
        <v>Target Achieved</v>
      </c>
      <c r="S38" s="27" t="str">
        <f>IF(AND(G37&gt;=125,H37&gt;=8),"YES","NO")</f>
        <v>NO</v>
      </c>
      <c r="T38" s="20" t="str">
        <f t="shared" si="5"/>
        <v>NO</v>
      </c>
      <c r="U38" s="20" t="str">
        <f t="shared" si="6"/>
        <v>A</v>
      </c>
    </row>
    <row r="39" spans="1:21">
      <c r="A39" s="13">
        <v>10</v>
      </c>
      <c r="B39" s="13" t="s">
        <v>46</v>
      </c>
      <c r="C39" s="13" t="s">
        <v>30</v>
      </c>
      <c r="D39" s="13">
        <v>22</v>
      </c>
      <c r="E39" s="13" t="s">
        <v>24</v>
      </c>
      <c r="F39" s="14" t="s">
        <v>47</v>
      </c>
      <c r="G39" s="13">
        <v>143</v>
      </c>
      <c r="H39" s="13">
        <v>8</v>
      </c>
      <c r="I39" s="15">
        <v>140000</v>
      </c>
      <c r="J39" s="15">
        <v>35000</v>
      </c>
      <c r="K39" s="15">
        <v>53000</v>
      </c>
      <c r="L39" s="15">
        <v>38000</v>
      </c>
      <c r="M39" s="16">
        <f t="shared" si="0"/>
        <v>126000</v>
      </c>
      <c r="N39" s="16">
        <f t="shared" si="1"/>
        <v>53000</v>
      </c>
      <c r="O39" s="16">
        <f t="shared" si="2"/>
        <v>35000</v>
      </c>
      <c r="P39" s="17">
        <f t="shared" si="3"/>
        <v>63000</v>
      </c>
      <c r="Q39" s="18">
        <f t="shared" si="4"/>
        <v>0.9</v>
      </c>
      <c r="R39" s="20" t="str">
        <f>IF(M39&gt;=75000,"achieved","Not Achieved")</f>
        <v>achieved</v>
      </c>
      <c r="S39" s="27" t="str">
        <f>IF(AND(G38&gt;=125,H38&gt;=8),"YES","NO")</f>
        <v>NO</v>
      </c>
      <c r="T39" s="20" t="str">
        <f t="shared" si="5"/>
        <v>YES</v>
      </c>
      <c r="U39" s="20" t="str">
        <f t="shared" si="6"/>
        <v>A++</v>
      </c>
    </row>
    <row r="40" spans="1:21">
      <c r="A40" s="13">
        <v>39</v>
      </c>
      <c r="B40" s="13" t="s">
        <v>101</v>
      </c>
      <c r="C40" s="13" t="s">
        <v>23</v>
      </c>
      <c r="D40" s="13">
        <v>29</v>
      </c>
      <c r="E40" s="13" t="s">
        <v>27</v>
      </c>
      <c r="F40" s="14" t="s">
        <v>102</v>
      </c>
      <c r="G40" s="13">
        <v>116</v>
      </c>
      <c r="H40" s="13">
        <v>5</v>
      </c>
      <c r="I40" s="15">
        <v>180000</v>
      </c>
      <c r="J40" s="15">
        <v>47000</v>
      </c>
      <c r="K40" s="15">
        <v>34000</v>
      </c>
      <c r="L40" s="15">
        <v>35000</v>
      </c>
      <c r="M40" s="16">
        <f t="shared" si="0"/>
        <v>116000</v>
      </c>
      <c r="N40" s="16">
        <f t="shared" si="1"/>
        <v>47000</v>
      </c>
      <c r="O40" s="16">
        <f t="shared" si="2"/>
        <v>34000</v>
      </c>
      <c r="P40" s="17">
        <f t="shared" si="3"/>
        <v>58000</v>
      </c>
      <c r="Q40" s="18">
        <f t="shared" si="4"/>
        <v>0.64444444444444449</v>
      </c>
      <c r="R40" s="20" t="str">
        <f>IF(M40&gt;=75000,"Target Achieved","Achieved")</f>
        <v>Target Achieved</v>
      </c>
      <c r="S40" s="27" t="str">
        <f>IF(AND(G40&gt;=125,H40&gt;=7),"YES","NO")</f>
        <v>NO</v>
      </c>
      <c r="T40" s="20" t="str">
        <f t="shared" si="5"/>
        <v>NO</v>
      </c>
      <c r="U40" s="20" t="str">
        <f t="shared" si="6"/>
        <v>A++</v>
      </c>
    </row>
    <row r="41" spans="1:21">
      <c r="A41" s="28">
        <v>33</v>
      </c>
      <c r="B41" s="28" t="s">
        <v>90</v>
      </c>
      <c r="C41" s="28" t="s">
        <v>30</v>
      </c>
      <c r="D41" s="28">
        <v>34</v>
      </c>
      <c r="E41" s="28" t="s">
        <v>42</v>
      </c>
      <c r="F41" s="31" t="s">
        <v>91</v>
      </c>
      <c r="G41" s="28">
        <v>122</v>
      </c>
      <c r="H41" s="28">
        <v>9</v>
      </c>
      <c r="I41" s="32">
        <v>160000</v>
      </c>
      <c r="J41" s="32">
        <v>30000</v>
      </c>
      <c r="K41" s="32">
        <v>36000</v>
      </c>
      <c r="L41" s="32">
        <v>46000</v>
      </c>
      <c r="M41" s="33">
        <f t="shared" si="0"/>
        <v>112000</v>
      </c>
      <c r="N41" s="16">
        <f t="shared" si="1"/>
        <v>46000</v>
      </c>
      <c r="O41" s="16">
        <f t="shared" si="2"/>
        <v>30000</v>
      </c>
      <c r="P41" s="17">
        <f t="shared" si="3"/>
        <v>56000</v>
      </c>
      <c r="Q41" s="18">
        <f t="shared" si="4"/>
        <v>0.7</v>
      </c>
      <c r="R41" s="20" t="str">
        <f>IF(M41&gt;=75000,"Target Achieved","Achieved")</f>
        <v>Target Achieved</v>
      </c>
      <c r="S41" s="27" t="str">
        <f>IF(AND(G41&gt;=125,H41&gt;=7),"YES","NO")</f>
        <v>NO</v>
      </c>
      <c r="T41" s="20" t="str">
        <f t="shared" si="5"/>
        <v>YES</v>
      </c>
      <c r="U41" s="20" t="str">
        <f t="shared" si="6"/>
        <v>B</v>
      </c>
    </row>
    <row r="42" spans="1:21">
      <c r="A42" s="28">
        <v>8</v>
      </c>
      <c r="B42" s="28" t="s">
        <v>41</v>
      </c>
      <c r="C42" s="28" t="s">
        <v>30</v>
      </c>
      <c r="D42" s="28">
        <v>31</v>
      </c>
      <c r="E42" s="28" t="s">
        <v>42</v>
      </c>
      <c r="F42" s="31" t="s">
        <v>43</v>
      </c>
      <c r="G42" s="28">
        <v>115</v>
      </c>
      <c r="H42" s="28">
        <v>7</v>
      </c>
      <c r="I42" s="32">
        <v>120000</v>
      </c>
      <c r="J42" s="32">
        <v>36000</v>
      </c>
      <c r="K42" s="32">
        <v>36000</v>
      </c>
      <c r="L42" s="32">
        <v>32000</v>
      </c>
      <c r="M42" s="33">
        <f t="shared" si="0"/>
        <v>104000</v>
      </c>
      <c r="N42" s="16">
        <f t="shared" si="1"/>
        <v>36000</v>
      </c>
      <c r="O42" s="16">
        <f t="shared" si="2"/>
        <v>32000</v>
      </c>
      <c r="P42" s="17">
        <f t="shared" si="3"/>
        <v>52000</v>
      </c>
      <c r="Q42" s="18">
        <f t="shared" si="4"/>
        <v>0.8666666666666667</v>
      </c>
      <c r="R42" s="20" t="str">
        <f>IF(M42&gt;=75000,"achieved","Not Achieved")</f>
        <v>achieved</v>
      </c>
      <c r="S42" s="27" t="str">
        <f>IF(AND(G41&gt;=125,H41&gt;=8),"YES","NO")</f>
        <v>NO</v>
      </c>
      <c r="T42" s="20" t="str">
        <f t="shared" si="5"/>
        <v>YES</v>
      </c>
      <c r="U42" s="20" t="str">
        <f t="shared" si="6"/>
        <v>B</v>
      </c>
    </row>
    <row r="43" spans="1:2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3"/>
      <c r="O43" s="5">
        <f t="shared" si="2"/>
        <v>0</v>
      </c>
      <c r="P43" s="9">
        <f t="shared" si="3"/>
        <v>0</v>
      </c>
      <c r="Q43" s="10" t="e">
        <f t="shared" si="4"/>
        <v>#DIV/0!</v>
      </c>
      <c r="R43" s="20" t="str">
        <f>IF(M43&gt;=75000,"Target Achieved","Achieved")</f>
        <v>Achieved</v>
      </c>
      <c r="S43" s="27" t="str">
        <f>IF(AND(G42&gt;=125,H42&gt;=8),"YES","NO")</f>
        <v>NO</v>
      </c>
      <c r="T43" s="20" t="str">
        <f t="shared" si="5"/>
        <v>YES</v>
      </c>
      <c r="U43" s="20" t="str">
        <f t="shared" si="6"/>
        <v>A+</v>
      </c>
    </row>
    <row r="44" spans="1:2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3"/>
      <c r="O44" s="5">
        <f t="shared" si="2"/>
        <v>0</v>
      </c>
      <c r="P44" s="9">
        <f t="shared" si="3"/>
        <v>0</v>
      </c>
      <c r="Q44" s="10" t="e">
        <f t="shared" si="4"/>
        <v>#DIV/0!</v>
      </c>
      <c r="R44" s="20" t="str">
        <f>IF(M44&gt;=75000,"Target Achieved","Achieved")</f>
        <v>Achieved</v>
      </c>
      <c r="S44" s="27" t="str">
        <f>IF(AND(G44&gt;=125,H44&gt;=7),"YES","NO")</f>
        <v>NO</v>
      </c>
      <c r="T44" s="20" t="str">
        <f t="shared" si="5"/>
        <v>YES</v>
      </c>
      <c r="U44" s="20" t="e">
        <f t="shared" si="6"/>
        <v>#DIV/0!</v>
      </c>
    </row>
    <row r="45" spans="1:2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35"/>
      <c r="O45" s="36">
        <f t="shared" si="2"/>
        <v>0</v>
      </c>
      <c r="P45" s="37">
        <f t="shared" si="3"/>
        <v>0</v>
      </c>
      <c r="Q45" s="38" t="e">
        <f t="shared" si="4"/>
        <v>#DIV/0!</v>
      </c>
      <c r="R45" s="39" t="str">
        <f>IF(M45&gt;=75000,"Target Achieved","Achieved")</f>
        <v>Achieved</v>
      </c>
      <c r="S45" s="40" t="str">
        <f>IF(AND(G44&gt;=125,H44&gt;=8),"YES","NO")</f>
        <v>NO</v>
      </c>
      <c r="T45" s="39" t="str">
        <f t="shared" si="5"/>
        <v>YES</v>
      </c>
      <c r="U45" s="20" t="e">
        <f t="shared" si="6"/>
        <v>#DIV/0!</v>
      </c>
    </row>
  </sheetData>
  <conditionalFormatting sqref="M3:M7">
    <cfRule type="expression" dxfId="3" priority="1">
      <formula>$M11=213000</formula>
    </cfRule>
    <cfRule type="expression" dxfId="2" priority="2">
      <formula>$M3&gt;=2100000</formula>
    </cfRule>
    <cfRule type="colorScale" priority="3">
      <colorScale>
        <cfvo type="min" val="0"/>
        <cfvo type="max" val="0"/>
        <color rgb="FFFF7128"/>
        <color rgb="FFFFEF9C"/>
      </colorScale>
    </cfRule>
  </conditionalFormatting>
  <dataValidations count="3">
    <dataValidation type="whole" showInputMessage="1" showErrorMessage="1" promptTitle="input messge" prompt="please enter 4 digit number" sqref="G1">
      <formula1>4</formula1>
      <formula2>6</formula2>
    </dataValidation>
    <dataValidation type="list" allowBlank="1" showInputMessage="1" showErrorMessage="1" sqref="E2:E42">
      <formula1>"Delhi,Lucknow,Mumbai"</formula1>
    </dataValidation>
    <dataValidation type="textLength" allowBlank="1" showInputMessage="1" showErrorMessage="1" sqref="F1:F40">
      <formula1>0</formula1>
      <formula2>10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selection activeCell="B1" sqref="B1:B40"/>
    </sheetView>
  </sheetViews>
  <sheetFormatPr defaultRowHeight="14.5"/>
  <cols>
    <col min="2" max="2" width="16.54296875" bestFit="1" customWidth="1"/>
    <col min="18" max="18" width="13.90625" bestFit="1" customWidth="1"/>
  </cols>
  <sheetData>
    <row r="1" spans="1:21" ht="39">
      <c r="A1" s="41" t="s">
        <v>159</v>
      </c>
      <c r="B1" s="42" t="s">
        <v>2</v>
      </c>
      <c r="C1" s="42" t="s">
        <v>3</v>
      </c>
      <c r="D1" s="43" t="s">
        <v>4</v>
      </c>
      <c r="E1" s="42" t="s">
        <v>5</v>
      </c>
      <c r="F1" s="42" t="s">
        <v>6</v>
      </c>
      <c r="G1" s="42" t="s">
        <v>7</v>
      </c>
      <c r="H1" s="42" t="s">
        <v>8</v>
      </c>
      <c r="I1" s="42" t="s">
        <v>9</v>
      </c>
      <c r="J1" s="42" t="s">
        <v>10</v>
      </c>
      <c r="K1" s="42" t="s">
        <v>11</v>
      </c>
      <c r="L1" s="42" t="s">
        <v>12</v>
      </c>
      <c r="M1" s="44" t="s">
        <v>13</v>
      </c>
      <c r="N1" s="44" t="s">
        <v>14</v>
      </c>
      <c r="O1" s="44" t="s">
        <v>15</v>
      </c>
      <c r="P1" s="44" t="s">
        <v>16</v>
      </c>
      <c r="Q1" s="45" t="s">
        <v>17</v>
      </c>
      <c r="R1" s="44" t="s">
        <v>18</v>
      </c>
      <c r="S1" s="44" t="s">
        <v>19</v>
      </c>
      <c r="T1" s="44" t="s">
        <v>20</v>
      </c>
      <c r="U1" s="44" t="s">
        <v>21</v>
      </c>
    </row>
    <row r="2" spans="1:21">
      <c r="A2" s="48">
        <v>40</v>
      </c>
      <c r="B2" s="6" t="s">
        <v>103</v>
      </c>
      <c r="C2" s="6" t="s">
        <v>30</v>
      </c>
      <c r="D2" s="6">
        <v>37</v>
      </c>
      <c r="E2" s="6" t="s">
        <v>24</v>
      </c>
      <c r="F2" s="7" t="s">
        <v>104</v>
      </c>
      <c r="G2" s="6">
        <v>149</v>
      </c>
      <c r="H2" s="6">
        <v>10</v>
      </c>
      <c r="I2" s="8">
        <v>140000</v>
      </c>
      <c r="J2" s="8">
        <v>58000</v>
      </c>
      <c r="K2" s="8">
        <v>57000</v>
      </c>
      <c r="L2" s="8">
        <v>46000</v>
      </c>
      <c r="M2" s="5">
        <f t="shared" ref="M2:M40" si="0">SUM(J2:L2)</f>
        <v>161000</v>
      </c>
      <c r="N2" s="5">
        <f t="shared" ref="N2:N40" si="1">MAX(J2:L2)</f>
        <v>58000</v>
      </c>
      <c r="O2" s="5">
        <f t="shared" ref="O2:O40" si="2">MIN(J2:L2)</f>
        <v>46000</v>
      </c>
      <c r="P2" s="9">
        <f t="shared" ref="P2:P40" si="3">M2/2</f>
        <v>80500</v>
      </c>
      <c r="Q2" s="10">
        <f t="shared" ref="Q2:Q40" si="4">M2/I2</f>
        <v>1.1499999999999999</v>
      </c>
      <c r="R2" s="20" t="str">
        <f t="shared" ref="R2:R25" si="5">IF(M2&gt;=75000,"Target Achieved","Achieved")</f>
        <v>Target Achieved</v>
      </c>
      <c r="S2" s="27" t="str">
        <f>IF(AND(G2&gt;=125,H2&gt;=7),"YES","NO")</f>
        <v>YES</v>
      </c>
      <c r="T2" s="20" t="str">
        <f t="shared" ref="T2:T40" si="6">IF(OR(R2="achieved",H2&gt;=9),"YES","NO")</f>
        <v>YES</v>
      </c>
      <c r="U2" s="20" t="str">
        <f t="shared" ref="U2:U40" si="7">IF(Q1&gt;=90%,"A++",IF(Q1&gt;=85%,"A+",IF(Q1&gt;=75%,"A","B")))</f>
        <v>A++</v>
      </c>
    </row>
    <row r="3" spans="1:21">
      <c r="A3" s="13">
        <v>39</v>
      </c>
      <c r="B3" s="13" t="s">
        <v>101</v>
      </c>
      <c r="C3" s="13" t="s">
        <v>23</v>
      </c>
      <c r="D3" s="13">
        <v>29</v>
      </c>
      <c r="E3" s="13" t="s">
        <v>27</v>
      </c>
      <c r="F3" s="14" t="s">
        <v>102</v>
      </c>
      <c r="G3" s="13">
        <v>116</v>
      </c>
      <c r="H3" s="13">
        <v>5</v>
      </c>
      <c r="I3" s="15">
        <v>180000</v>
      </c>
      <c r="J3" s="15">
        <v>47000</v>
      </c>
      <c r="K3" s="15">
        <v>34000</v>
      </c>
      <c r="L3" s="15">
        <v>35000</v>
      </c>
      <c r="M3" s="16">
        <f t="shared" si="0"/>
        <v>116000</v>
      </c>
      <c r="N3" s="16">
        <f t="shared" si="1"/>
        <v>47000</v>
      </c>
      <c r="O3" s="16">
        <f t="shared" si="2"/>
        <v>34000</v>
      </c>
      <c r="P3" s="17">
        <f t="shared" si="3"/>
        <v>58000</v>
      </c>
      <c r="Q3" s="18">
        <f t="shared" si="4"/>
        <v>0.64444444444444449</v>
      </c>
      <c r="R3" s="20" t="str">
        <f t="shared" si="5"/>
        <v>Target Achieved</v>
      </c>
      <c r="S3" s="27" t="str">
        <f>IF(AND(G3&gt;=125,H3&gt;=7),"YES","NO")</f>
        <v>NO</v>
      </c>
      <c r="T3" s="20" t="str">
        <f t="shared" si="6"/>
        <v>NO</v>
      </c>
      <c r="U3" s="20" t="str">
        <f t="shared" si="7"/>
        <v>A++</v>
      </c>
    </row>
    <row r="4" spans="1:21">
      <c r="A4" s="13">
        <v>38</v>
      </c>
      <c r="B4" s="13" t="s">
        <v>99</v>
      </c>
      <c r="C4" s="13" t="s">
        <v>23</v>
      </c>
      <c r="D4" s="13">
        <v>26</v>
      </c>
      <c r="E4" s="13" t="s">
        <v>27</v>
      </c>
      <c r="F4" s="14" t="s">
        <v>100</v>
      </c>
      <c r="G4" s="13">
        <v>127</v>
      </c>
      <c r="H4" s="13">
        <v>6</v>
      </c>
      <c r="I4" s="15">
        <v>180000</v>
      </c>
      <c r="J4" s="15">
        <v>73000</v>
      </c>
      <c r="K4" s="15">
        <v>66000</v>
      </c>
      <c r="L4" s="15">
        <v>74000</v>
      </c>
      <c r="M4" s="16">
        <f t="shared" si="0"/>
        <v>213000</v>
      </c>
      <c r="N4" s="16">
        <f t="shared" si="1"/>
        <v>74000</v>
      </c>
      <c r="O4" s="16">
        <f t="shared" si="2"/>
        <v>66000</v>
      </c>
      <c r="P4" s="17">
        <f t="shared" si="3"/>
        <v>106500</v>
      </c>
      <c r="Q4" s="18">
        <f t="shared" si="4"/>
        <v>1.1833333333333333</v>
      </c>
      <c r="R4" s="20" t="str">
        <f t="shared" si="5"/>
        <v>Target Achieved</v>
      </c>
      <c r="S4" s="27" t="str">
        <f>IF(AND(G3&gt;=125,H3&gt;=8),"YES","NO")</f>
        <v>NO</v>
      </c>
      <c r="T4" s="20" t="str">
        <f t="shared" si="6"/>
        <v>NO</v>
      </c>
      <c r="U4" s="20" t="str">
        <f t="shared" si="7"/>
        <v>B</v>
      </c>
    </row>
    <row r="5" spans="1:21">
      <c r="A5" s="13">
        <v>37</v>
      </c>
      <c r="B5" s="13" t="s">
        <v>98</v>
      </c>
      <c r="C5" s="13" t="s">
        <v>30</v>
      </c>
      <c r="D5" s="13">
        <v>35</v>
      </c>
      <c r="E5" s="13" t="s">
        <v>24</v>
      </c>
      <c r="F5" s="14" t="s">
        <v>158</v>
      </c>
      <c r="G5" s="13">
        <v>118</v>
      </c>
      <c r="H5" s="13">
        <v>9</v>
      </c>
      <c r="I5" s="15">
        <v>160000</v>
      </c>
      <c r="J5" s="15">
        <v>59000</v>
      </c>
      <c r="K5" s="15">
        <v>68000</v>
      </c>
      <c r="L5" s="15">
        <v>46000</v>
      </c>
      <c r="M5" s="16">
        <f t="shared" si="0"/>
        <v>173000</v>
      </c>
      <c r="N5" s="16">
        <f t="shared" si="1"/>
        <v>68000</v>
      </c>
      <c r="O5" s="16">
        <f t="shared" si="2"/>
        <v>46000</v>
      </c>
      <c r="P5" s="17">
        <f t="shared" si="3"/>
        <v>86500</v>
      </c>
      <c r="Q5" s="18">
        <f t="shared" si="4"/>
        <v>1.08125</v>
      </c>
      <c r="R5" s="20" t="str">
        <f t="shared" si="5"/>
        <v>Target Achieved</v>
      </c>
      <c r="S5" s="27" t="str">
        <f>IF(AND(G5&gt;=125,H5&gt;=7),"YES","NO")</f>
        <v>NO</v>
      </c>
      <c r="T5" s="20" t="str">
        <f t="shared" si="6"/>
        <v>YES</v>
      </c>
      <c r="U5" s="20" t="str">
        <f t="shared" si="7"/>
        <v>A++</v>
      </c>
    </row>
    <row r="6" spans="1:21">
      <c r="A6" s="13">
        <v>36</v>
      </c>
      <c r="B6" s="13" t="s">
        <v>96</v>
      </c>
      <c r="C6" s="13" t="s">
        <v>23</v>
      </c>
      <c r="D6" s="13">
        <v>23</v>
      </c>
      <c r="E6" s="13" t="s">
        <v>27</v>
      </c>
      <c r="F6" s="14" t="s">
        <v>97</v>
      </c>
      <c r="G6" s="13">
        <v>125</v>
      </c>
      <c r="H6" s="13">
        <v>4</v>
      </c>
      <c r="I6" s="15">
        <v>180000</v>
      </c>
      <c r="J6" s="15">
        <v>36000</v>
      </c>
      <c r="K6" s="15">
        <v>59000</v>
      </c>
      <c r="L6" s="15">
        <v>39000</v>
      </c>
      <c r="M6" s="16">
        <f t="shared" si="0"/>
        <v>134000</v>
      </c>
      <c r="N6" s="16">
        <f t="shared" si="1"/>
        <v>59000</v>
      </c>
      <c r="O6" s="16">
        <f t="shared" si="2"/>
        <v>36000</v>
      </c>
      <c r="P6" s="17">
        <f t="shared" si="3"/>
        <v>67000</v>
      </c>
      <c r="Q6" s="18">
        <f t="shared" si="4"/>
        <v>0.74444444444444446</v>
      </c>
      <c r="R6" s="20" t="str">
        <f t="shared" si="5"/>
        <v>Target Achieved</v>
      </c>
      <c r="S6" s="27" t="str">
        <f>IF(AND(G5&gt;=125,H5&gt;=8),"YES","NO")</f>
        <v>NO</v>
      </c>
      <c r="T6" s="20" t="str">
        <f t="shared" si="6"/>
        <v>NO</v>
      </c>
      <c r="U6" s="20" t="str">
        <f t="shared" si="7"/>
        <v>A++</v>
      </c>
    </row>
    <row r="7" spans="1:21">
      <c r="A7" s="13">
        <v>35</v>
      </c>
      <c r="B7" s="13" t="s">
        <v>94</v>
      </c>
      <c r="C7" s="13" t="s">
        <v>23</v>
      </c>
      <c r="D7" s="13">
        <v>31</v>
      </c>
      <c r="E7" s="13" t="s">
        <v>33</v>
      </c>
      <c r="F7" s="14" t="s">
        <v>95</v>
      </c>
      <c r="G7" s="13">
        <v>128</v>
      </c>
      <c r="H7" s="13">
        <v>4</v>
      </c>
      <c r="I7" s="15">
        <v>120000</v>
      </c>
      <c r="J7" s="15">
        <v>45000</v>
      </c>
      <c r="K7" s="15">
        <v>67000</v>
      </c>
      <c r="L7" s="15">
        <v>32000</v>
      </c>
      <c r="M7" s="16">
        <f t="shared" si="0"/>
        <v>144000</v>
      </c>
      <c r="N7" s="16">
        <f t="shared" si="1"/>
        <v>67000</v>
      </c>
      <c r="O7" s="16">
        <f t="shared" si="2"/>
        <v>32000</v>
      </c>
      <c r="P7" s="17">
        <f t="shared" si="3"/>
        <v>72000</v>
      </c>
      <c r="Q7" s="18">
        <f t="shared" si="4"/>
        <v>1.2</v>
      </c>
      <c r="R7" s="20" t="str">
        <f t="shared" si="5"/>
        <v>Target Achieved</v>
      </c>
      <c r="S7" s="27" t="str">
        <f>IF(AND(G7&gt;=125,H7&gt;=7),"YES","NO")</f>
        <v>NO</v>
      </c>
      <c r="T7" s="20" t="str">
        <f t="shared" si="6"/>
        <v>NO</v>
      </c>
      <c r="U7" s="20" t="str">
        <f t="shared" si="7"/>
        <v>B</v>
      </c>
    </row>
    <row r="8" spans="1:21">
      <c r="A8" s="13">
        <v>34</v>
      </c>
      <c r="B8" s="13" t="s">
        <v>92</v>
      </c>
      <c r="C8" s="13" t="s">
        <v>23</v>
      </c>
      <c r="D8" s="13">
        <v>39</v>
      </c>
      <c r="E8" s="13" t="s">
        <v>33</v>
      </c>
      <c r="F8" s="14" t="s">
        <v>93</v>
      </c>
      <c r="G8" s="13">
        <v>120</v>
      </c>
      <c r="H8" s="30"/>
      <c r="I8" s="15">
        <v>160000</v>
      </c>
      <c r="J8" s="15">
        <v>40000</v>
      </c>
      <c r="K8" s="15">
        <v>61000</v>
      </c>
      <c r="L8" s="15">
        <v>64000</v>
      </c>
      <c r="M8" s="16">
        <f t="shared" si="0"/>
        <v>165000</v>
      </c>
      <c r="N8" s="16">
        <f t="shared" si="1"/>
        <v>64000</v>
      </c>
      <c r="O8" s="16">
        <f t="shared" si="2"/>
        <v>40000</v>
      </c>
      <c r="P8" s="17">
        <f t="shared" si="3"/>
        <v>82500</v>
      </c>
      <c r="Q8" s="18">
        <f t="shared" si="4"/>
        <v>1.03125</v>
      </c>
      <c r="R8" s="20" t="str">
        <f t="shared" si="5"/>
        <v>Target Achieved</v>
      </c>
      <c r="S8" s="27" t="str">
        <f>IF(AND(G7&gt;=125,H7&gt;=8),"YES","NO")</f>
        <v>NO</v>
      </c>
      <c r="T8" s="20" t="str">
        <f t="shared" si="6"/>
        <v>NO</v>
      </c>
      <c r="U8" s="20" t="str">
        <f t="shared" si="7"/>
        <v>A++</v>
      </c>
    </row>
    <row r="9" spans="1:21">
      <c r="A9" s="13">
        <v>33</v>
      </c>
      <c r="B9" s="13" t="s">
        <v>90</v>
      </c>
      <c r="C9" s="13" t="s">
        <v>30</v>
      </c>
      <c r="D9" s="13">
        <v>34</v>
      </c>
      <c r="E9" s="13" t="s">
        <v>42</v>
      </c>
      <c r="F9" s="14" t="s">
        <v>91</v>
      </c>
      <c r="G9" s="13">
        <v>122</v>
      </c>
      <c r="H9" s="13">
        <v>9</v>
      </c>
      <c r="I9" s="15">
        <v>160000</v>
      </c>
      <c r="J9" s="15">
        <v>30000</v>
      </c>
      <c r="K9" s="15">
        <v>36000</v>
      </c>
      <c r="L9" s="15">
        <v>46000</v>
      </c>
      <c r="M9" s="16">
        <f t="shared" si="0"/>
        <v>112000</v>
      </c>
      <c r="N9" s="16">
        <f t="shared" si="1"/>
        <v>46000</v>
      </c>
      <c r="O9" s="16">
        <f t="shared" si="2"/>
        <v>30000</v>
      </c>
      <c r="P9" s="17">
        <f t="shared" si="3"/>
        <v>56000</v>
      </c>
      <c r="Q9" s="18">
        <f t="shared" si="4"/>
        <v>0.7</v>
      </c>
      <c r="R9" s="20" t="str">
        <f t="shared" si="5"/>
        <v>Target Achieved</v>
      </c>
      <c r="S9" s="27" t="str">
        <f>IF(AND(G9&gt;=125,H9&gt;=7),"YES","NO")</f>
        <v>NO</v>
      </c>
      <c r="T9" s="20" t="str">
        <f t="shared" si="6"/>
        <v>YES</v>
      </c>
      <c r="U9" s="20" t="str">
        <f t="shared" si="7"/>
        <v>A++</v>
      </c>
    </row>
    <row r="10" spans="1:21">
      <c r="A10" s="13">
        <v>32</v>
      </c>
      <c r="B10" s="13" t="s">
        <v>88</v>
      </c>
      <c r="C10" s="13" t="s">
        <v>23</v>
      </c>
      <c r="D10" s="13">
        <v>25</v>
      </c>
      <c r="E10" s="13" t="s">
        <v>24</v>
      </c>
      <c r="F10" s="14" t="s">
        <v>89</v>
      </c>
      <c r="G10" s="13">
        <v>146</v>
      </c>
      <c r="H10" s="13">
        <v>5</v>
      </c>
      <c r="I10" s="15">
        <v>180000</v>
      </c>
      <c r="J10" s="15">
        <v>34000</v>
      </c>
      <c r="K10" s="15">
        <v>54000</v>
      </c>
      <c r="L10" s="15">
        <v>62000</v>
      </c>
      <c r="M10" s="16">
        <f t="shared" si="0"/>
        <v>150000</v>
      </c>
      <c r="N10" s="16">
        <f t="shared" si="1"/>
        <v>62000</v>
      </c>
      <c r="O10" s="16">
        <f t="shared" si="2"/>
        <v>34000</v>
      </c>
      <c r="P10" s="17">
        <f t="shared" si="3"/>
        <v>75000</v>
      </c>
      <c r="Q10" s="18">
        <f t="shared" si="4"/>
        <v>0.83333333333333337</v>
      </c>
      <c r="R10" s="20" t="str">
        <f t="shared" si="5"/>
        <v>Target Achieved</v>
      </c>
      <c r="S10" s="27" t="str">
        <f>IF(AND(G9&gt;=125,H9&gt;=8),"YES","NO")</f>
        <v>NO</v>
      </c>
      <c r="T10" s="20" t="str">
        <f t="shared" si="6"/>
        <v>NO</v>
      </c>
      <c r="U10" s="20" t="str">
        <f t="shared" si="7"/>
        <v>B</v>
      </c>
    </row>
    <row r="11" spans="1:21">
      <c r="A11" s="13">
        <v>31</v>
      </c>
      <c r="B11" s="13" t="s">
        <v>86</v>
      </c>
      <c r="C11" s="13" t="s">
        <v>23</v>
      </c>
      <c r="D11" s="13">
        <v>28</v>
      </c>
      <c r="E11" s="13" t="s">
        <v>33</v>
      </c>
      <c r="F11" s="14" t="s">
        <v>87</v>
      </c>
      <c r="G11" s="13">
        <v>137</v>
      </c>
      <c r="H11" s="13">
        <v>10</v>
      </c>
      <c r="I11" s="15">
        <v>140000</v>
      </c>
      <c r="J11" s="15">
        <v>55000</v>
      </c>
      <c r="K11" s="15">
        <v>43000</v>
      </c>
      <c r="L11" s="15">
        <v>41000</v>
      </c>
      <c r="M11" s="16">
        <f t="shared" si="0"/>
        <v>139000</v>
      </c>
      <c r="N11" s="16">
        <f t="shared" si="1"/>
        <v>55000</v>
      </c>
      <c r="O11" s="16">
        <f t="shared" si="2"/>
        <v>41000</v>
      </c>
      <c r="P11" s="17">
        <f t="shared" si="3"/>
        <v>69500</v>
      </c>
      <c r="Q11" s="18">
        <f t="shared" si="4"/>
        <v>0.99285714285714288</v>
      </c>
      <c r="R11" s="20" t="str">
        <f t="shared" si="5"/>
        <v>Target Achieved</v>
      </c>
      <c r="S11" s="27" t="str">
        <f>IF(AND(G11&gt;=125,H11&gt;=7),"YES","NO")</f>
        <v>YES</v>
      </c>
      <c r="T11" s="20" t="str">
        <f t="shared" si="6"/>
        <v>YES</v>
      </c>
      <c r="U11" s="20" t="str">
        <f t="shared" si="7"/>
        <v>A</v>
      </c>
    </row>
    <row r="12" spans="1:21">
      <c r="A12" s="13">
        <v>30</v>
      </c>
      <c r="B12" s="13" t="s">
        <v>84</v>
      </c>
      <c r="C12" s="13" t="s">
        <v>23</v>
      </c>
      <c r="D12" s="13">
        <v>33</v>
      </c>
      <c r="E12" s="13" t="s">
        <v>33</v>
      </c>
      <c r="F12" s="14" t="s">
        <v>85</v>
      </c>
      <c r="G12" s="13">
        <v>148</v>
      </c>
      <c r="H12" s="13">
        <v>5</v>
      </c>
      <c r="I12" s="15">
        <v>120000</v>
      </c>
      <c r="J12" s="15">
        <v>62000</v>
      </c>
      <c r="K12" s="15">
        <v>30000</v>
      </c>
      <c r="L12" s="15">
        <v>50000</v>
      </c>
      <c r="M12" s="16">
        <f t="shared" si="0"/>
        <v>142000</v>
      </c>
      <c r="N12" s="16">
        <f t="shared" si="1"/>
        <v>62000</v>
      </c>
      <c r="O12" s="16">
        <f t="shared" si="2"/>
        <v>30000</v>
      </c>
      <c r="P12" s="17">
        <f t="shared" si="3"/>
        <v>71000</v>
      </c>
      <c r="Q12" s="18">
        <f t="shared" si="4"/>
        <v>1.1833333333333333</v>
      </c>
      <c r="R12" s="20" t="str">
        <f t="shared" si="5"/>
        <v>Target Achieved</v>
      </c>
      <c r="S12" s="27" t="str">
        <f>IF(AND(G11&gt;=125,H11&gt;=8),"YES","NO")</f>
        <v>YES</v>
      </c>
      <c r="T12" s="20" t="str">
        <f t="shared" si="6"/>
        <v>NO</v>
      </c>
      <c r="U12" s="20" t="str">
        <f t="shared" si="7"/>
        <v>A++</v>
      </c>
    </row>
    <row r="13" spans="1:21">
      <c r="A13" s="13">
        <v>29</v>
      </c>
      <c r="B13" s="13" t="s">
        <v>75</v>
      </c>
      <c r="C13" s="13" t="s">
        <v>30</v>
      </c>
      <c r="D13" s="13">
        <v>25</v>
      </c>
      <c r="E13" s="13" t="s">
        <v>42</v>
      </c>
      <c r="F13" s="14" t="s">
        <v>83</v>
      </c>
      <c r="G13" s="13">
        <v>116</v>
      </c>
      <c r="H13" s="13">
        <v>6</v>
      </c>
      <c r="I13" s="15">
        <v>160000</v>
      </c>
      <c r="J13" s="15">
        <v>59000</v>
      </c>
      <c r="K13" s="15">
        <v>57000</v>
      </c>
      <c r="L13" s="15">
        <v>62000</v>
      </c>
      <c r="M13" s="16">
        <f t="shared" si="0"/>
        <v>178000</v>
      </c>
      <c r="N13" s="16">
        <f t="shared" si="1"/>
        <v>62000</v>
      </c>
      <c r="O13" s="16">
        <f t="shared" si="2"/>
        <v>57000</v>
      </c>
      <c r="P13" s="17">
        <f t="shared" si="3"/>
        <v>89000</v>
      </c>
      <c r="Q13" s="18">
        <f t="shared" si="4"/>
        <v>1.1125</v>
      </c>
      <c r="R13" s="20" t="str">
        <f t="shared" si="5"/>
        <v>Target Achieved</v>
      </c>
      <c r="S13" s="27" t="str">
        <f>IF(AND(G13&gt;=125,H13&gt;=7),"YES","NO")</f>
        <v>NO</v>
      </c>
      <c r="T13" s="20" t="str">
        <f t="shared" si="6"/>
        <v>NO</v>
      </c>
      <c r="U13" s="20" t="str">
        <f t="shared" si="7"/>
        <v>A++</v>
      </c>
    </row>
    <row r="14" spans="1:21">
      <c r="A14" s="13">
        <v>28</v>
      </c>
      <c r="B14" s="13" t="s">
        <v>81</v>
      </c>
      <c r="C14" s="13" t="s">
        <v>23</v>
      </c>
      <c r="D14" s="30"/>
      <c r="E14" s="13" t="s">
        <v>24</v>
      </c>
      <c r="F14" s="14" t="s">
        <v>82</v>
      </c>
      <c r="G14" s="13">
        <v>114</v>
      </c>
      <c r="H14" s="13">
        <v>7</v>
      </c>
      <c r="I14" s="15">
        <v>120000</v>
      </c>
      <c r="J14" s="15">
        <v>31000</v>
      </c>
      <c r="K14" s="15">
        <v>32000</v>
      </c>
      <c r="L14" s="15">
        <v>65000</v>
      </c>
      <c r="M14" s="16">
        <f t="shared" si="0"/>
        <v>128000</v>
      </c>
      <c r="N14" s="16">
        <f t="shared" si="1"/>
        <v>65000</v>
      </c>
      <c r="O14" s="16">
        <f t="shared" si="2"/>
        <v>31000</v>
      </c>
      <c r="P14" s="17">
        <f t="shared" si="3"/>
        <v>64000</v>
      </c>
      <c r="Q14" s="18">
        <f t="shared" si="4"/>
        <v>1.0666666666666667</v>
      </c>
      <c r="R14" s="20" t="str">
        <f t="shared" si="5"/>
        <v>Target Achieved</v>
      </c>
      <c r="S14" s="27" t="str">
        <f>IF(AND(G13&gt;=125,H13&gt;=8),"YES","NO")</f>
        <v>NO</v>
      </c>
      <c r="T14" s="20" t="str">
        <f t="shared" si="6"/>
        <v>NO</v>
      </c>
      <c r="U14" s="20" t="str">
        <f t="shared" si="7"/>
        <v>A++</v>
      </c>
    </row>
    <row r="15" spans="1:21">
      <c r="A15" s="13">
        <v>27</v>
      </c>
      <c r="B15" s="13" t="s">
        <v>79</v>
      </c>
      <c r="C15" s="13" t="s">
        <v>30</v>
      </c>
      <c r="D15" s="13">
        <v>32</v>
      </c>
      <c r="E15" s="13" t="s">
        <v>27</v>
      </c>
      <c r="F15" s="14" t="s">
        <v>80</v>
      </c>
      <c r="G15" s="13">
        <v>116</v>
      </c>
      <c r="H15" s="13">
        <v>7</v>
      </c>
      <c r="I15" s="15">
        <v>160000</v>
      </c>
      <c r="J15" s="15">
        <v>64000</v>
      </c>
      <c r="K15" s="15">
        <v>75000</v>
      </c>
      <c r="L15" s="15">
        <v>38000</v>
      </c>
      <c r="M15" s="16">
        <f t="shared" si="0"/>
        <v>177000</v>
      </c>
      <c r="N15" s="16">
        <f t="shared" si="1"/>
        <v>75000</v>
      </c>
      <c r="O15" s="16">
        <f t="shared" si="2"/>
        <v>38000</v>
      </c>
      <c r="P15" s="17">
        <f t="shared" si="3"/>
        <v>88500</v>
      </c>
      <c r="Q15" s="18">
        <f t="shared" si="4"/>
        <v>1.10625</v>
      </c>
      <c r="R15" s="20" t="str">
        <f t="shared" si="5"/>
        <v>Target Achieved</v>
      </c>
      <c r="S15" s="27" t="str">
        <f>IF(AND(G15&gt;=125,H15&gt;=7),"YES","NO")</f>
        <v>NO</v>
      </c>
      <c r="T15" s="20" t="str">
        <f t="shared" si="6"/>
        <v>NO</v>
      </c>
      <c r="U15" s="20" t="str">
        <f t="shared" si="7"/>
        <v>A++</v>
      </c>
    </row>
    <row r="16" spans="1:21">
      <c r="A16" s="13">
        <v>26</v>
      </c>
      <c r="B16" s="13" t="s">
        <v>77</v>
      </c>
      <c r="C16" s="13" t="s">
        <v>23</v>
      </c>
      <c r="D16" s="13">
        <v>42</v>
      </c>
      <c r="E16" s="13" t="s">
        <v>42</v>
      </c>
      <c r="F16" s="14" t="s">
        <v>78</v>
      </c>
      <c r="G16" s="13">
        <v>144</v>
      </c>
      <c r="H16" s="13">
        <v>8</v>
      </c>
      <c r="I16" s="15">
        <v>180000</v>
      </c>
      <c r="J16" s="15">
        <v>38000</v>
      </c>
      <c r="K16" s="15">
        <v>44000</v>
      </c>
      <c r="L16" s="15">
        <v>70000</v>
      </c>
      <c r="M16" s="16">
        <f t="shared" si="0"/>
        <v>152000</v>
      </c>
      <c r="N16" s="16">
        <f t="shared" si="1"/>
        <v>70000</v>
      </c>
      <c r="O16" s="16">
        <f t="shared" si="2"/>
        <v>38000</v>
      </c>
      <c r="P16" s="17">
        <f t="shared" si="3"/>
        <v>76000</v>
      </c>
      <c r="Q16" s="18">
        <f t="shared" si="4"/>
        <v>0.84444444444444444</v>
      </c>
      <c r="R16" s="20" t="str">
        <f t="shared" si="5"/>
        <v>Target Achieved</v>
      </c>
      <c r="S16" s="27" t="str">
        <f>IF(AND(G15&gt;=125,H15&gt;=8),"YES","NO")</f>
        <v>NO</v>
      </c>
      <c r="T16" s="20" t="str">
        <f t="shared" si="6"/>
        <v>NO</v>
      </c>
      <c r="U16" s="20" t="str">
        <f t="shared" si="7"/>
        <v>A++</v>
      </c>
    </row>
    <row r="17" spans="1:21">
      <c r="A17" s="13">
        <v>25</v>
      </c>
      <c r="B17" s="13" t="s">
        <v>75</v>
      </c>
      <c r="C17" s="13" t="s">
        <v>30</v>
      </c>
      <c r="D17" s="13">
        <v>29</v>
      </c>
      <c r="E17" s="13" t="s">
        <v>27</v>
      </c>
      <c r="F17" s="14" t="s">
        <v>76</v>
      </c>
      <c r="G17" s="13">
        <v>117</v>
      </c>
      <c r="H17" s="13">
        <v>10</v>
      </c>
      <c r="I17" s="15">
        <v>180000</v>
      </c>
      <c r="J17" s="15">
        <v>69000</v>
      </c>
      <c r="K17" s="15">
        <v>46000</v>
      </c>
      <c r="L17" s="15">
        <v>75000</v>
      </c>
      <c r="M17" s="16">
        <f t="shared" si="0"/>
        <v>190000</v>
      </c>
      <c r="N17" s="16">
        <f t="shared" si="1"/>
        <v>75000</v>
      </c>
      <c r="O17" s="16">
        <f t="shared" si="2"/>
        <v>46000</v>
      </c>
      <c r="P17" s="17">
        <f t="shared" si="3"/>
        <v>95000</v>
      </c>
      <c r="Q17" s="18">
        <f t="shared" si="4"/>
        <v>1.0555555555555556</v>
      </c>
      <c r="R17" s="20" t="str">
        <f t="shared" si="5"/>
        <v>Target Achieved</v>
      </c>
      <c r="S17" s="27" t="str">
        <f>IF(AND(G17&gt;=125,H17&gt;=7),"YES","NO")</f>
        <v>NO</v>
      </c>
      <c r="T17" s="20" t="str">
        <f t="shared" si="6"/>
        <v>YES</v>
      </c>
      <c r="U17" s="20" t="str">
        <f t="shared" si="7"/>
        <v>A</v>
      </c>
    </row>
    <row r="18" spans="1:21">
      <c r="A18" s="13">
        <v>24</v>
      </c>
      <c r="B18" s="13" t="s">
        <v>73</v>
      </c>
      <c r="C18" s="13" t="s">
        <v>23</v>
      </c>
      <c r="D18" s="13">
        <v>29</v>
      </c>
      <c r="E18" s="13" t="s">
        <v>33</v>
      </c>
      <c r="F18" s="14" t="s">
        <v>74</v>
      </c>
      <c r="G18" s="13">
        <v>136</v>
      </c>
      <c r="H18" s="28">
        <v>8</v>
      </c>
      <c r="I18" s="15">
        <v>120000</v>
      </c>
      <c r="J18" s="15">
        <v>46000</v>
      </c>
      <c r="K18" s="15">
        <v>38000</v>
      </c>
      <c r="L18" s="15">
        <v>74000</v>
      </c>
      <c r="M18" s="16">
        <f t="shared" si="0"/>
        <v>158000</v>
      </c>
      <c r="N18" s="16">
        <f t="shared" si="1"/>
        <v>74000</v>
      </c>
      <c r="O18" s="16">
        <f t="shared" si="2"/>
        <v>38000</v>
      </c>
      <c r="P18" s="17">
        <f t="shared" si="3"/>
        <v>79000</v>
      </c>
      <c r="Q18" s="18">
        <f t="shared" si="4"/>
        <v>1.3166666666666667</v>
      </c>
      <c r="R18" s="20" t="str">
        <f t="shared" si="5"/>
        <v>Target Achieved</v>
      </c>
      <c r="S18" s="27" t="str">
        <f>IF(AND(G17&gt;=125,H17&gt;=8),"YES","NO")</f>
        <v>NO</v>
      </c>
      <c r="T18" s="20" t="str">
        <f t="shared" si="6"/>
        <v>NO</v>
      </c>
      <c r="U18" s="20" t="str">
        <f t="shared" si="7"/>
        <v>A++</v>
      </c>
    </row>
    <row r="19" spans="1:21">
      <c r="A19" s="13">
        <v>23</v>
      </c>
      <c r="B19" s="13" t="s">
        <v>71</v>
      </c>
      <c r="C19" s="13" t="s">
        <v>30</v>
      </c>
      <c r="D19" s="28">
        <v>25</v>
      </c>
      <c r="E19" s="13" t="s">
        <v>24</v>
      </c>
      <c r="F19" s="14" t="s">
        <v>72</v>
      </c>
      <c r="G19" s="13">
        <v>117</v>
      </c>
      <c r="H19" s="13">
        <v>7</v>
      </c>
      <c r="I19" s="15">
        <v>120000</v>
      </c>
      <c r="J19" s="15">
        <v>74000</v>
      </c>
      <c r="K19" s="15">
        <v>40000</v>
      </c>
      <c r="L19" s="15">
        <v>34000</v>
      </c>
      <c r="M19" s="16">
        <f t="shared" si="0"/>
        <v>148000</v>
      </c>
      <c r="N19" s="16">
        <f t="shared" si="1"/>
        <v>74000</v>
      </c>
      <c r="O19" s="16">
        <f t="shared" si="2"/>
        <v>34000</v>
      </c>
      <c r="P19" s="17">
        <f t="shared" si="3"/>
        <v>74000</v>
      </c>
      <c r="Q19" s="18">
        <f t="shared" si="4"/>
        <v>1.2333333333333334</v>
      </c>
      <c r="R19" s="20" t="str">
        <f t="shared" si="5"/>
        <v>Target Achieved</v>
      </c>
      <c r="S19" s="27" t="str">
        <f>IF(AND(G19&gt;=125,H19&gt;=7),"YES","NO")</f>
        <v>NO</v>
      </c>
      <c r="T19" s="20" t="s">
        <v>160</v>
      </c>
      <c r="U19" s="20" t="str">
        <f t="shared" si="7"/>
        <v>A++</v>
      </c>
    </row>
    <row r="20" spans="1:21">
      <c r="A20" s="13">
        <v>22</v>
      </c>
      <c r="B20" s="13" t="s">
        <v>69</v>
      </c>
      <c r="C20" s="13" t="s">
        <v>30</v>
      </c>
      <c r="D20" s="13">
        <v>39</v>
      </c>
      <c r="E20" s="13" t="s">
        <v>24</v>
      </c>
      <c r="F20" s="14" t="s">
        <v>70</v>
      </c>
      <c r="G20" s="13">
        <v>123</v>
      </c>
      <c r="H20" s="13">
        <v>6</v>
      </c>
      <c r="I20" s="15">
        <v>140000</v>
      </c>
      <c r="J20" s="15">
        <v>64000</v>
      </c>
      <c r="K20" s="15">
        <v>63000</v>
      </c>
      <c r="L20" s="15">
        <v>47000</v>
      </c>
      <c r="M20" s="16">
        <f t="shared" si="0"/>
        <v>174000</v>
      </c>
      <c r="N20" s="16">
        <f t="shared" si="1"/>
        <v>64000</v>
      </c>
      <c r="O20" s="16">
        <f t="shared" si="2"/>
        <v>47000</v>
      </c>
      <c r="P20" s="17">
        <f t="shared" si="3"/>
        <v>87000</v>
      </c>
      <c r="Q20" s="18">
        <f t="shared" si="4"/>
        <v>1.2428571428571429</v>
      </c>
      <c r="R20" s="20" t="str">
        <f t="shared" si="5"/>
        <v>Target Achieved</v>
      </c>
      <c r="S20" s="27" t="str">
        <f>IF(AND(G19&gt;=125,H19&gt;=8),"YES","NO")</f>
        <v>NO</v>
      </c>
      <c r="T20" s="20" t="str">
        <f t="shared" si="6"/>
        <v>NO</v>
      </c>
      <c r="U20" s="20" t="str">
        <f t="shared" si="7"/>
        <v>A++</v>
      </c>
    </row>
    <row r="21" spans="1:21">
      <c r="A21" s="13">
        <v>21</v>
      </c>
      <c r="B21" s="13" t="s">
        <v>67</v>
      </c>
      <c r="C21" s="13" t="s">
        <v>23</v>
      </c>
      <c r="D21" s="13">
        <v>28</v>
      </c>
      <c r="E21" s="13" t="s">
        <v>33</v>
      </c>
      <c r="F21" s="14" t="s">
        <v>68</v>
      </c>
      <c r="G21" s="13">
        <v>143</v>
      </c>
      <c r="H21" s="13">
        <v>10</v>
      </c>
      <c r="I21" s="15">
        <v>200000</v>
      </c>
      <c r="J21" s="15">
        <v>74000</v>
      </c>
      <c r="K21" s="15">
        <v>58000</v>
      </c>
      <c r="L21" s="15">
        <v>61000</v>
      </c>
      <c r="M21" s="16">
        <f t="shared" si="0"/>
        <v>193000</v>
      </c>
      <c r="N21" s="16">
        <f t="shared" si="1"/>
        <v>74000</v>
      </c>
      <c r="O21" s="16">
        <f t="shared" si="2"/>
        <v>58000</v>
      </c>
      <c r="P21" s="17">
        <f t="shared" si="3"/>
        <v>96500</v>
      </c>
      <c r="Q21" s="18">
        <f t="shared" si="4"/>
        <v>0.96499999999999997</v>
      </c>
      <c r="R21" s="20" t="str">
        <f t="shared" si="5"/>
        <v>Target Achieved</v>
      </c>
      <c r="S21" s="27" t="str">
        <f>IF(AND(G21&gt;=125,H21&gt;=7),"YES","NO")</f>
        <v>YES</v>
      </c>
      <c r="T21" s="20" t="str">
        <f t="shared" si="6"/>
        <v>YES</v>
      </c>
      <c r="U21" s="20" t="str">
        <f t="shared" si="7"/>
        <v>A++</v>
      </c>
    </row>
    <row r="22" spans="1:21">
      <c r="A22" s="13">
        <v>20</v>
      </c>
      <c r="B22" s="13" t="s">
        <v>65</v>
      </c>
      <c r="C22" s="13" t="s">
        <v>30</v>
      </c>
      <c r="D22" s="13">
        <v>44</v>
      </c>
      <c r="E22" s="13" t="s">
        <v>24</v>
      </c>
      <c r="F22" s="14" t="s">
        <v>66</v>
      </c>
      <c r="G22" s="13">
        <v>132</v>
      </c>
      <c r="H22" s="30"/>
      <c r="I22" s="15">
        <v>120000</v>
      </c>
      <c r="J22" s="15">
        <v>32000</v>
      </c>
      <c r="K22" s="15">
        <v>58000</v>
      </c>
      <c r="L22" s="15">
        <v>51000</v>
      </c>
      <c r="M22" s="16">
        <f t="shared" si="0"/>
        <v>141000</v>
      </c>
      <c r="N22" s="16">
        <f t="shared" si="1"/>
        <v>58000</v>
      </c>
      <c r="O22" s="16">
        <f t="shared" si="2"/>
        <v>32000</v>
      </c>
      <c r="P22" s="17">
        <f t="shared" si="3"/>
        <v>70500</v>
      </c>
      <c r="Q22" s="18">
        <f t="shared" si="4"/>
        <v>1.175</v>
      </c>
      <c r="R22" s="20" t="str">
        <f t="shared" si="5"/>
        <v>Target Achieved</v>
      </c>
      <c r="S22" s="27" t="str">
        <f>IF(AND(G21&gt;=125,H21&gt;=8),"YES","NO")</f>
        <v>YES</v>
      </c>
      <c r="T22" s="20" t="str">
        <f t="shared" si="6"/>
        <v>NO</v>
      </c>
      <c r="U22" s="20" t="str">
        <f t="shared" si="7"/>
        <v>A++</v>
      </c>
    </row>
    <row r="23" spans="1:21">
      <c r="A23" s="13">
        <v>19</v>
      </c>
      <c r="B23" s="13" t="s">
        <v>63</v>
      </c>
      <c r="C23" s="13" t="s">
        <v>23</v>
      </c>
      <c r="D23" s="13">
        <v>24</v>
      </c>
      <c r="E23" s="13" t="s">
        <v>27</v>
      </c>
      <c r="F23" s="14" t="s">
        <v>64</v>
      </c>
      <c r="G23" s="13">
        <v>142</v>
      </c>
      <c r="H23" s="13">
        <v>10</v>
      </c>
      <c r="I23" s="15">
        <v>150000</v>
      </c>
      <c r="J23" s="15">
        <v>59000</v>
      </c>
      <c r="K23" s="15">
        <v>50000</v>
      </c>
      <c r="L23" s="15">
        <v>71000</v>
      </c>
      <c r="M23" s="16">
        <f t="shared" si="0"/>
        <v>180000</v>
      </c>
      <c r="N23" s="16">
        <f t="shared" si="1"/>
        <v>71000</v>
      </c>
      <c r="O23" s="16">
        <f t="shared" si="2"/>
        <v>50000</v>
      </c>
      <c r="P23" s="17">
        <f t="shared" si="3"/>
        <v>90000</v>
      </c>
      <c r="Q23" s="18">
        <f t="shared" si="4"/>
        <v>1.2</v>
      </c>
      <c r="R23" s="20" t="str">
        <f t="shared" si="5"/>
        <v>Target Achieved</v>
      </c>
      <c r="S23" s="27" t="str">
        <f>IF(AND(G23&gt;=125,H23&gt;=7),"YES","NO")</f>
        <v>YES</v>
      </c>
      <c r="T23" s="20" t="str">
        <f t="shared" si="6"/>
        <v>YES</v>
      </c>
      <c r="U23" s="20" t="str">
        <f t="shared" si="7"/>
        <v>A++</v>
      </c>
    </row>
    <row r="24" spans="1:21">
      <c r="A24" s="13">
        <v>18</v>
      </c>
      <c r="B24" s="13" t="s">
        <v>61</v>
      </c>
      <c r="C24" s="13" t="s">
        <v>30</v>
      </c>
      <c r="D24" s="13">
        <v>28</v>
      </c>
      <c r="E24" s="13" t="s">
        <v>27</v>
      </c>
      <c r="F24" s="14" t="s">
        <v>62</v>
      </c>
      <c r="G24" s="13">
        <v>132</v>
      </c>
      <c r="H24" s="13">
        <v>8</v>
      </c>
      <c r="I24" s="15">
        <v>200000</v>
      </c>
      <c r="J24" s="15">
        <v>63000</v>
      </c>
      <c r="K24" s="15">
        <v>62000</v>
      </c>
      <c r="L24" s="15">
        <v>69000</v>
      </c>
      <c r="M24" s="16">
        <f t="shared" si="0"/>
        <v>194000</v>
      </c>
      <c r="N24" s="16">
        <f t="shared" si="1"/>
        <v>69000</v>
      </c>
      <c r="O24" s="16">
        <f t="shared" si="2"/>
        <v>62000</v>
      </c>
      <c r="P24" s="17">
        <f t="shared" si="3"/>
        <v>97000</v>
      </c>
      <c r="Q24" s="18">
        <f t="shared" si="4"/>
        <v>0.97</v>
      </c>
      <c r="R24" s="20" t="str">
        <f t="shared" si="5"/>
        <v>Target Achieved</v>
      </c>
      <c r="S24" s="27" t="str">
        <f>IF(AND(G23&gt;=125,H23&gt;=8),"YES","NO")</f>
        <v>YES</v>
      </c>
      <c r="T24" s="20" t="str">
        <f t="shared" si="6"/>
        <v>NO</v>
      </c>
      <c r="U24" s="20" t="str">
        <f t="shared" si="7"/>
        <v>A++</v>
      </c>
    </row>
    <row r="25" spans="1:21">
      <c r="A25" s="13">
        <v>17</v>
      </c>
      <c r="B25" s="13" t="s">
        <v>59</v>
      </c>
      <c r="C25" s="13" t="s">
        <v>23</v>
      </c>
      <c r="D25" s="13">
        <v>40</v>
      </c>
      <c r="E25" s="13" t="s">
        <v>42</v>
      </c>
      <c r="F25" s="14" t="s">
        <v>60</v>
      </c>
      <c r="G25" s="13">
        <v>150</v>
      </c>
      <c r="H25" s="13">
        <v>4</v>
      </c>
      <c r="I25" s="15">
        <v>160000</v>
      </c>
      <c r="J25" s="15">
        <v>36000</v>
      </c>
      <c r="K25" s="15">
        <v>70000</v>
      </c>
      <c r="L25" s="15">
        <v>64000</v>
      </c>
      <c r="M25" s="16">
        <f t="shared" si="0"/>
        <v>170000</v>
      </c>
      <c r="N25" s="16">
        <f t="shared" si="1"/>
        <v>70000</v>
      </c>
      <c r="O25" s="16">
        <f t="shared" si="2"/>
        <v>36000</v>
      </c>
      <c r="P25" s="17">
        <f t="shared" si="3"/>
        <v>85000</v>
      </c>
      <c r="Q25" s="18">
        <f t="shared" si="4"/>
        <v>1.0625</v>
      </c>
      <c r="R25" s="20" t="str">
        <f t="shared" si="5"/>
        <v>Target Achieved</v>
      </c>
      <c r="S25" s="27" t="str">
        <f>IF(AND(G25&gt;=125,H25&gt;=7),"YES","NO")</f>
        <v>NO</v>
      </c>
      <c r="T25" s="20" t="str">
        <f t="shared" si="6"/>
        <v>NO</v>
      </c>
      <c r="U25" s="20" t="str">
        <f t="shared" si="7"/>
        <v>A++</v>
      </c>
    </row>
    <row r="26" spans="1:21">
      <c r="A26" s="13">
        <v>16</v>
      </c>
      <c r="B26" s="13" t="s">
        <v>57</v>
      </c>
      <c r="C26" s="13" t="s">
        <v>23</v>
      </c>
      <c r="D26" s="13">
        <v>36</v>
      </c>
      <c r="E26" s="13" t="s">
        <v>42</v>
      </c>
      <c r="F26" s="14" t="s">
        <v>58</v>
      </c>
      <c r="G26" s="13">
        <v>130</v>
      </c>
      <c r="H26" s="13">
        <v>4</v>
      </c>
      <c r="I26" s="15">
        <v>120000</v>
      </c>
      <c r="J26" s="15">
        <v>47000</v>
      </c>
      <c r="K26" s="15">
        <v>68000</v>
      </c>
      <c r="L26" s="15">
        <v>32000</v>
      </c>
      <c r="M26" s="16">
        <f t="shared" si="0"/>
        <v>147000</v>
      </c>
      <c r="N26" s="16">
        <f t="shared" si="1"/>
        <v>68000</v>
      </c>
      <c r="O26" s="16">
        <f t="shared" si="2"/>
        <v>32000</v>
      </c>
      <c r="P26" s="17">
        <f t="shared" si="3"/>
        <v>73500</v>
      </c>
      <c r="Q26" s="18">
        <f t="shared" si="4"/>
        <v>1.2250000000000001</v>
      </c>
      <c r="R26" s="20" t="str">
        <f t="shared" ref="R26:R40" si="8">IF(M26&gt;=75000,"achieved","Not Achieved")</f>
        <v>achieved</v>
      </c>
      <c r="S26" s="27" t="str">
        <f>IF(AND(G25&gt;=125,H25&gt;=8),"YES","NO")</f>
        <v>NO</v>
      </c>
      <c r="T26" s="20" t="str">
        <f t="shared" si="6"/>
        <v>YES</v>
      </c>
      <c r="U26" s="20" t="str">
        <f t="shared" si="7"/>
        <v>A++</v>
      </c>
    </row>
    <row r="27" spans="1:21">
      <c r="A27" s="13">
        <v>15</v>
      </c>
      <c r="B27" s="13" t="s">
        <v>55</v>
      </c>
      <c r="C27" s="13" t="s">
        <v>30</v>
      </c>
      <c r="D27" s="13">
        <v>43</v>
      </c>
      <c r="E27" s="13" t="s">
        <v>33</v>
      </c>
      <c r="F27" s="14" t="s">
        <v>56</v>
      </c>
      <c r="G27" s="13">
        <v>118</v>
      </c>
      <c r="H27" s="13">
        <v>5</v>
      </c>
      <c r="I27" s="15">
        <v>160000</v>
      </c>
      <c r="J27" s="15">
        <v>52000</v>
      </c>
      <c r="K27" s="15">
        <v>32000</v>
      </c>
      <c r="L27" s="15">
        <v>75000</v>
      </c>
      <c r="M27" s="16">
        <f t="shared" si="0"/>
        <v>159000</v>
      </c>
      <c r="N27" s="16">
        <f t="shared" si="1"/>
        <v>75000</v>
      </c>
      <c r="O27" s="16">
        <f t="shared" si="2"/>
        <v>32000</v>
      </c>
      <c r="P27" s="17">
        <f t="shared" si="3"/>
        <v>79500</v>
      </c>
      <c r="Q27" s="18">
        <f t="shared" si="4"/>
        <v>0.99375000000000002</v>
      </c>
      <c r="R27" s="20" t="str">
        <f t="shared" si="8"/>
        <v>achieved</v>
      </c>
      <c r="S27" s="27" t="str">
        <f>IF(AND(G27&gt;=125,H27&gt;=7),"YES","NO")</f>
        <v>NO</v>
      </c>
      <c r="T27" s="20" t="str">
        <f t="shared" si="6"/>
        <v>YES</v>
      </c>
      <c r="U27" s="20" t="str">
        <f t="shared" si="7"/>
        <v>A++</v>
      </c>
    </row>
    <row r="28" spans="1:21">
      <c r="A28" s="13">
        <v>14</v>
      </c>
      <c r="B28" s="13" t="s">
        <v>53</v>
      </c>
      <c r="C28" s="13" t="s">
        <v>23</v>
      </c>
      <c r="D28" s="13">
        <v>44</v>
      </c>
      <c r="E28" s="13" t="s">
        <v>24</v>
      </c>
      <c r="F28" s="14" t="s">
        <v>54</v>
      </c>
      <c r="G28" s="13">
        <v>122</v>
      </c>
      <c r="H28" s="13">
        <v>8</v>
      </c>
      <c r="I28" s="15">
        <v>140000</v>
      </c>
      <c r="J28" s="15">
        <v>51000</v>
      </c>
      <c r="K28" s="15">
        <v>72000</v>
      </c>
      <c r="L28" s="15">
        <v>58000</v>
      </c>
      <c r="M28" s="16">
        <f t="shared" si="0"/>
        <v>181000</v>
      </c>
      <c r="N28" s="16">
        <f t="shared" si="1"/>
        <v>72000</v>
      </c>
      <c r="O28" s="16">
        <f t="shared" si="2"/>
        <v>51000</v>
      </c>
      <c r="P28" s="17">
        <f t="shared" si="3"/>
        <v>90500</v>
      </c>
      <c r="Q28" s="18">
        <f t="shared" si="4"/>
        <v>1.2928571428571429</v>
      </c>
      <c r="R28" s="20" t="str">
        <f t="shared" si="8"/>
        <v>achieved</v>
      </c>
      <c r="S28" s="27" t="str">
        <f>IF(AND(G27&gt;=125,H27&gt;=8),"YES","NO")</f>
        <v>NO</v>
      </c>
      <c r="T28" s="20" t="str">
        <f t="shared" si="6"/>
        <v>YES</v>
      </c>
      <c r="U28" s="20" t="str">
        <f t="shared" si="7"/>
        <v>A++</v>
      </c>
    </row>
    <row r="29" spans="1:21">
      <c r="A29" s="13">
        <v>13</v>
      </c>
      <c r="B29" s="13" t="s">
        <v>51</v>
      </c>
      <c r="C29" s="13" t="s">
        <v>30</v>
      </c>
      <c r="D29" s="13">
        <v>24</v>
      </c>
      <c r="E29" s="13" t="s">
        <v>33</v>
      </c>
      <c r="F29" s="14" t="s">
        <v>52</v>
      </c>
      <c r="G29" s="13">
        <v>144</v>
      </c>
      <c r="H29" s="13">
        <v>4</v>
      </c>
      <c r="I29" s="15">
        <v>180000</v>
      </c>
      <c r="J29" s="15">
        <v>62000</v>
      </c>
      <c r="K29" s="15">
        <v>31000</v>
      </c>
      <c r="L29" s="15">
        <v>49000</v>
      </c>
      <c r="M29" s="16">
        <f t="shared" si="0"/>
        <v>142000</v>
      </c>
      <c r="N29" s="16">
        <f t="shared" si="1"/>
        <v>62000</v>
      </c>
      <c r="O29" s="16">
        <f t="shared" si="2"/>
        <v>31000</v>
      </c>
      <c r="P29" s="17">
        <f t="shared" si="3"/>
        <v>71000</v>
      </c>
      <c r="Q29" s="18">
        <f t="shared" si="4"/>
        <v>0.78888888888888886</v>
      </c>
      <c r="R29" s="20" t="str">
        <f t="shared" si="8"/>
        <v>achieved</v>
      </c>
      <c r="S29" s="27" t="str">
        <f>IF(AND(G29&gt;=125,H29&gt;=7),"YES","NO")</f>
        <v>NO</v>
      </c>
      <c r="T29" s="20" t="str">
        <f t="shared" si="6"/>
        <v>YES</v>
      </c>
      <c r="U29" s="20" t="str">
        <f t="shared" si="7"/>
        <v>A++</v>
      </c>
    </row>
    <row r="30" spans="1:21">
      <c r="A30" s="13">
        <v>12</v>
      </c>
      <c r="B30" s="13" t="s">
        <v>49</v>
      </c>
      <c r="C30" s="13" t="s">
        <v>30</v>
      </c>
      <c r="D30" s="13">
        <v>39</v>
      </c>
      <c r="E30" s="13" t="s">
        <v>24</v>
      </c>
      <c r="F30" s="14" t="s">
        <v>50</v>
      </c>
      <c r="G30" s="13">
        <v>141</v>
      </c>
      <c r="H30" s="13">
        <v>8</v>
      </c>
      <c r="I30" s="15">
        <v>120000</v>
      </c>
      <c r="J30" s="15">
        <v>69000</v>
      </c>
      <c r="K30" s="15">
        <v>72000</v>
      </c>
      <c r="L30" s="15">
        <v>54000</v>
      </c>
      <c r="M30" s="16">
        <f t="shared" si="0"/>
        <v>195000</v>
      </c>
      <c r="N30" s="16">
        <f t="shared" si="1"/>
        <v>72000</v>
      </c>
      <c r="O30" s="16">
        <f t="shared" si="2"/>
        <v>54000</v>
      </c>
      <c r="P30" s="17">
        <f t="shared" si="3"/>
        <v>97500</v>
      </c>
      <c r="Q30" s="18">
        <f t="shared" si="4"/>
        <v>1.625</v>
      </c>
      <c r="R30" s="20" t="str">
        <f t="shared" si="8"/>
        <v>achieved</v>
      </c>
      <c r="S30" s="27" t="str">
        <f>IF(AND(G29&gt;=125,H29&gt;=8),"YES","NO")</f>
        <v>NO</v>
      </c>
      <c r="T30" s="20" t="str">
        <f t="shared" si="6"/>
        <v>YES</v>
      </c>
      <c r="U30" s="20" t="str">
        <f t="shared" si="7"/>
        <v>A</v>
      </c>
    </row>
    <row r="31" spans="1:21">
      <c r="A31" s="13">
        <v>11</v>
      </c>
      <c r="B31" s="13" t="s">
        <v>26</v>
      </c>
      <c r="C31" s="13" t="s">
        <v>23</v>
      </c>
      <c r="D31" s="13">
        <v>44</v>
      </c>
      <c r="E31" s="13" t="s">
        <v>27</v>
      </c>
      <c r="F31" s="14" t="s">
        <v>48</v>
      </c>
      <c r="G31" s="13">
        <v>150</v>
      </c>
      <c r="H31" s="28">
        <v>4</v>
      </c>
      <c r="I31" s="15">
        <v>160000</v>
      </c>
      <c r="J31" s="15">
        <v>34000</v>
      </c>
      <c r="K31" s="15">
        <v>49000</v>
      </c>
      <c r="L31" s="15">
        <v>50000</v>
      </c>
      <c r="M31" s="16">
        <f t="shared" si="0"/>
        <v>133000</v>
      </c>
      <c r="N31" s="16">
        <f t="shared" si="1"/>
        <v>50000</v>
      </c>
      <c r="O31" s="16">
        <f t="shared" si="2"/>
        <v>34000</v>
      </c>
      <c r="P31" s="17">
        <f t="shared" si="3"/>
        <v>66500</v>
      </c>
      <c r="Q31" s="18">
        <f t="shared" si="4"/>
        <v>0.83125000000000004</v>
      </c>
      <c r="R31" s="20" t="str">
        <f t="shared" si="8"/>
        <v>achieved</v>
      </c>
      <c r="S31" s="27" t="str">
        <f>IF(AND(G31&gt;=125,H31&gt;=7),"YES","NO")</f>
        <v>NO</v>
      </c>
      <c r="T31" s="20" t="str">
        <f t="shared" si="6"/>
        <v>YES</v>
      </c>
      <c r="U31" s="20" t="str">
        <f t="shared" si="7"/>
        <v>A++</v>
      </c>
    </row>
    <row r="32" spans="1:21">
      <c r="A32" s="13">
        <v>10</v>
      </c>
      <c r="B32" s="13" t="s">
        <v>46</v>
      </c>
      <c r="C32" s="13" t="s">
        <v>30</v>
      </c>
      <c r="D32" s="13">
        <v>22</v>
      </c>
      <c r="E32" s="13" t="s">
        <v>24</v>
      </c>
      <c r="F32" s="14" t="s">
        <v>47</v>
      </c>
      <c r="G32" s="13">
        <v>143</v>
      </c>
      <c r="H32" s="13">
        <v>8</v>
      </c>
      <c r="I32" s="15">
        <v>140000</v>
      </c>
      <c r="J32" s="15">
        <v>35000</v>
      </c>
      <c r="K32" s="15">
        <v>53000</v>
      </c>
      <c r="L32" s="15">
        <v>38000</v>
      </c>
      <c r="M32" s="16">
        <f t="shared" si="0"/>
        <v>126000</v>
      </c>
      <c r="N32" s="16">
        <f t="shared" si="1"/>
        <v>53000</v>
      </c>
      <c r="O32" s="16">
        <f t="shared" si="2"/>
        <v>35000</v>
      </c>
      <c r="P32" s="17">
        <f t="shared" si="3"/>
        <v>63000</v>
      </c>
      <c r="Q32" s="18">
        <f t="shared" si="4"/>
        <v>0.9</v>
      </c>
      <c r="R32" s="20" t="str">
        <f t="shared" si="8"/>
        <v>achieved</v>
      </c>
      <c r="S32" s="27" t="str">
        <f>IF(AND(G31&gt;=125,H31&gt;=8),"YES","NO")</f>
        <v>NO</v>
      </c>
      <c r="T32" s="20" t="str">
        <f t="shared" si="6"/>
        <v>YES</v>
      </c>
      <c r="U32" s="20" t="str">
        <f t="shared" si="7"/>
        <v>A</v>
      </c>
    </row>
    <row r="33" spans="1:21">
      <c r="A33" s="13">
        <v>9</v>
      </c>
      <c r="B33" s="13" t="s">
        <v>44</v>
      </c>
      <c r="C33" s="13" t="s">
        <v>30</v>
      </c>
      <c r="D33" s="13">
        <v>34</v>
      </c>
      <c r="E33" s="13" t="s">
        <v>42</v>
      </c>
      <c r="F33" s="14" t="s">
        <v>45</v>
      </c>
      <c r="G33" s="13">
        <v>140</v>
      </c>
      <c r="H33" s="13">
        <v>8</v>
      </c>
      <c r="I33" s="15">
        <v>200000</v>
      </c>
      <c r="J33" s="15">
        <v>69000</v>
      </c>
      <c r="K33" s="15">
        <v>69000</v>
      </c>
      <c r="L33" s="15">
        <v>34000</v>
      </c>
      <c r="M33" s="16">
        <f t="shared" si="0"/>
        <v>172000</v>
      </c>
      <c r="N33" s="16">
        <f t="shared" si="1"/>
        <v>69000</v>
      </c>
      <c r="O33" s="16">
        <f t="shared" si="2"/>
        <v>34000</v>
      </c>
      <c r="P33" s="17">
        <f t="shared" si="3"/>
        <v>86000</v>
      </c>
      <c r="Q33" s="18">
        <f t="shared" si="4"/>
        <v>0.86</v>
      </c>
      <c r="R33" s="20" t="str">
        <f t="shared" si="8"/>
        <v>achieved</v>
      </c>
      <c r="S33" s="27" t="str">
        <f>IF(AND(G33&gt;=125,H33&gt;=7),"YES","NO")</f>
        <v>YES</v>
      </c>
      <c r="T33" s="20" t="str">
        <f t="shared" si="6"/>
        <v>YES</v>
      </c>
      <c r="U33" s="20" t="str">
        <f t="shared" si="7"/>
        <v>A++</v>
      </c>
    </row>
    <row r="34" spans="1:21">
      <c r="A34" s="13">
        <v>8</v>
      </c>
      <c r="B34" s="13" t="s">
        <v>41</v>
      </c>
      <c r="C34" s="13" t="s">
        <v>30</v>
      </c>
      <c r="D34" s="13">
        <v>31</v>
      </c>
      <c r="E34" s="13" t="s">
        <v>42</v>
      </c>
      <c r="F34" s="14" t="s">
        <v>43</v>
      </c>
      <c r="G34" s="13">
        <v>115</v>
      </c>
      <c r="H34" s="13">
        <v>7</v>
      </c>
      <c r="I34" s="15">
        <v>120000</v>
      </c>
      <c r="J34" s="15">
        <v>36000</v>
      </c>
      <c r="K34" s="15">
        <v>36000</v>
      </c>
      <c r="L34" s="15">
        <v>32000</v>
      </c>
      <c r="M34" s="16">
        <f t="shared" si="0"/>
        <v>104000</v>
      </c>
      <c r="N34" s="16">
        <f t="shared" si="1"/>
        <v>36000</v>
      </c>
      <c r="O34" s="16">
        <f t="shared" si="2"/>
        <v>32000</v>
      </c>
      <c r="P34" s="17">
        <f t="shared" si="3"/>
        <v>52000</v>
      </c>
      <c r="Q34" s="18">
        <f t="shared" si="4"/>
        <v>0.8666666666666667</v>
      </c>
      <c r="R34" s="20" t="str">
        <f t="shared" si="8"/>
        <v>achieved</v>
      </c>
      <c r="S34" s="27" t="str">
        <f>IF(AND(G33&gt;=125,H33&gt;=8),"YES","NO")</f>
        <v>YES</v>
      </c>
      <c r="T34" s="20" t="str">
        <f t="shared" si="6"/>
        <v>YES</v>
      </c>
      <c r="U34" s="20" t="str">
        <f t="shared" si="7"/>
        <v>A+</v>
      </c>
    </row>
    <row r="35" spans="1:21">
      <c r="A35" s="13">
        <v>7</v>
      </c>
      <c r="B35" s="13" t="s">
        <v>39</v>
      </c>
      <c r="C35" s="13" t="s">
        <v>23</v>
      </c>
      <c r="D35" s="30"/>
      <c r="E35" s="13" t="s">
        <v>24</v>
      </c>
      <c r="F35" s="14" t="s">
        <v>40</v>
      </c>
      <c r="G35" s="13">
        <v>139</v>
      </c>
      <c r="H35" s="13">
        <v>5</v>
      </c>
      <c r="I35" s="15">
        <v>180000</v>
      </c>
      <c r="J35" s="15">
        <v>60000</v>
      </c>
      <c r="K35" s="15">
        <v>66000</v>
      </c>
      <c r="L35" s="15">
        <v>38000</v>
      </c>
      <c r="M35" s="16">
        <f t="shared" si="0"/>
        <v>164000</v>
      </c>
      <c r="N35" s="16">
        <f t="shared" si="1"/>
        <v>66000</v>
      </c>
      <c r="O35" s="16">
        <f t="shared" si="2"/>
        <v>38000</v>
      </c>
      <c r="P35" s="17">
        <f t="shared" si="3"/>
        <v>82000</v>
      </c>
      <c r="Q35" s="18">
        <f t="shared" si="4"/>
        <v>0.91111111111111109</v>
      </c>
      <c r="R35" s="20" t="str">
        <f t="shared" si="8"/>
        <v>achieved</v>
      </c>
      <c r="S35" s="27" t="str">
        <f>IF(AND(G35&gt;=125,H35&gt;=7),"YES","NO")</f>
        <v>NO</v>
      </c>
      <c r="T35" s="20" t="str">
        <f t="shared" si="6"/>
        <v>YES</v>
      </c>
      <c r="U35" s="20" t="str">
        <f t="shared" si="7"/>
        <v>A+</v>
      </c>
    </row>
    <row r="36" spans="1:21">
      <c r="A36" s="13">
        <v>6</v>
      </c>
      <c r="B36" s="13" t="s">
        <v>37</v>
      </c>
      <c r="C36" s="13" t="s">
        <v>30</v>
      </c>
      <c r="D36" s="13">
        <v>28</v>
      </c>
      <c r="E36" s="13" t="s">
        <v>33</v>
      </c>
      <c r="F36" s="14" t="s">
        <v>38</v>
      </c>
      <c r="G36" s="13">
        <v>116</v>
      </c>
      <c r="H36" s="13">
        <v>4</v>
      </c>
      <c r="I36" s="15">
        <v>140000</v>
      </c>
      <c r="J36" s="15">
        <v>43000</v>
      </c>
      <c r="K36" s="15">
        <v>58000</v>
      </c>
      <c r="L36" s="15">
        <v>46000</v>
      </c>
      <c r="M36" s="16">
        <f t="shared" si="0"/>
        <v>147000</v>
      </c>
      <c r="N36" s="16">
        <f t="shared" si="1"/>
        <v>58000</v>
      </c>
      <c r="O36" s="16">
        <f t="shared" si="2"/>
        <v>43000</v>
      </c>
      <c r="P36" s="17">
        <f t="shared" si="3"/>
        <v>73500</v>
      </c>
      <c r="Q36" s="18">
        <f t="shared" si="4"/>
        <v>1.05</v>
      </c>
      <c r="R36" s="20" t="str">
        <f t="shared" si="8"/>
        <v>achieved</v>
      </c>
      <c r="S36" s="27" t="str">
        <f>IF(AND(G35&gt;=125,H35&gt;=8),"YES","NO")</f>
        <v>NO</v>
      </c>
      <c r="T36" s="20" t="str">
        <f t="shared" si="6"/>
        <v>YES</v>
      </c>
      <c r="U36" s="20" t="str">
        <f t="shared" si="7"/>
        <v>A++</v>
      </c>
    </row>
    <row r="37" spans="1:21">
      <c r="A37" s="13">
        <v>5</v>
      </c>
      <c r="B37" s="13" t="s">
        <v>35</v>
      </c>
      <c r="C37" s="13" t="s">
        <v>23</v>
      </c>
      <c r="D37" s="28">
        <v>35</v>
      </c>
      <c r="E37" s="13" t="s">
        <v>24</v>
      </c>
      <c r="F37" s="14" t="s">
        <v>36</v>
      </c>
      <c r="G37" s="13">
        <v>122</v>
      </c>
      <c r="H37" s="13">
        <v>7</v>
      </c>
      <c r="I37" s="15">
        <v>180000</v>
      </c>
      <c r="J37" s="15">
        <v>42000</v>
      </c>
      <c r="K37" s="15">
        <v>38000</v>
      </c>
      <c r="L37" s="15">
        <v>56000</v>
      </c>
      <c r="M37" s="16">
        <f t="shared" si="0"/>
        <v>136000</v>
      </c>
      <c r="N37" s="16">
        <f t="shared" si="1"/>
        <v>56000</v>
      </c>
      <c r="O37" s="16">
        <f t="shared" si="2"/>
        <v>38000</v>
      </c>
      <c r="P37" s="17">
        <f t="shared" si="3"/>
        <v>68000</v>
      </c>
      <c r="Q37" s="18">
        <f t="shared" si="4"/>
        <v>0.75555555555555554</v>
      </c>
      <c r="R37" s="20" t="str">
        <f t="shared" si="8"/>
        <v>achieved</v>
      </c>
      <c r="S37" s="27" t="str">
        <f>IF(AND(G37&gt;=125,H37&gt;=7),"YES","NO")</f>
        <v>NO</v>
      </c>
      <c r="T37" s="20" t="str">
        <f t="shared" si="6"/>
        <v>YES</v>
      </c>
      <c r="U37" s="20" t="str">
        <f t="shared" si="7"/>
        <v>A++</v>
      </c>
    </row>
    <row r="38" spans="1:21">
      <c r="A38" s="13">
        <v>4</v>
      </c>
      <c r="B38" s="13" t="s">
        <v>32</v>
      </c>
      <c r="C38" s="13" t="s">
        <v>30</v>
      </c>
      <c r="D38" s="13">
        <v>24</v>
      </c>
      <c r="E38" s="13" t="s">
        <v>33</v>
      </c>
      <c r="F38" s="14" t="s">
        <v>34</v>
      </c>
      <c r="G38" s="13">
        <v>146</v>
      </c>
      <c r="H38" s="13">
        <v>9</v>
      </c>
      <c r="I38" s="15">
        <v>140000</v>
      </c>
      <c r="J38" s="15">
        <v>73000</v>
      </c>
      <c r="K38" s="15">
        <v>47000</v>
      </c>
      <c r="L38" s="15">
        <v>51000</v>
      </c>
      <c r="M38" s="16">
        <f t="shared" si="0"/>
        <v>171000</v>
      </c>
      <c r="N38" s="16">
        <f t="shared" si="1"/>
        <v>73000</v>
      </c>
      <c r="O38" s="16">
        <f t="shared" si="2"/>
        <v>47000</v>
      </c>
      <c r="P38" s="17">
        <f t="shared" si="3"/>
        <v>85500</v>
      </c>
      <c r="Q38" s="18">
        <f t="shared" si="4"/>
        <v>1.2214285714285715</v>
      </c>
      <c r="R38" s="20" t="str">
        <f t="shared" si="8"/>
        <v>achieved</v>
      </c>
      <c r="S38" s="27" t="str">
        <f>IF(AND(G37&gt;=125,H37&gt;=8),"YES","NO")</f>
        <v>NO</v>
      </c>
      <c r="T38" s="20" t="str">
        <f t="shared" si="6"/>
        <v>YES</v>
      </c>
      <c r="U38" s="20" t="str">
        <f t="shared" si="7"/>
        <v>A</v>
      </c>
    </row>
    <row r="39" spans="1:21">
      <c r="A39" s="13">
        <v>3</v>
      </c>
      <c r="B39" s="13" t="s">
        <v>29</v>
      </c>
      <c r="C39" s="13" t="s">
        <v>30</v>
      </c>
      <c r="D39" s="13">
        <v>37</v>
      </c>
      <c r="E39" s="13" t="s">
        <v>24</v>
      </c>
      <c r="F39" s="14" t="s">
        <v>31</v>
      </c>
      <c r="G39" s="13">
        <v>142</v>
      </c>
      <c r="H39" s="13">
        <v>6</v>
      </c>
      <c r="I39" s="15">
        <v>120000</v>
      </c>
      <c r="J39" s="15">
        <v>34000</v>
      </c>
      <c r="K39" s="15">
        <v>66000</v>
      </c>
      <c r="L39" s="15">
        <v>36000</v>
      </c>
      <c r="M39" s="16">
        <f t="shared" si="0"/>
        <v>136000</v>
      </c>
      <c r="N39" s="16">
        <f t="shared" si="1"/>
        <v>66000</v>
      </c>
      <c r="O39" s="16">
        <f t="shared" si="2"/>
        <v>34000</v>
      </c>
      <c r="P39" s="17">
        <f t="shared" si="3"/>
        <v>68000</v>
      </c>
      <c r="Q39" s="18">
        <f t="shared" si="4"/>
        <v>1.1333333333333333</v>
      </c>
      <c r="R39" s="20" t="str">
        <f t="shared" si="8"/>
        <v>achieved</v>
      </c>
      <c r="S39" s="27" t="str">
        <f>IF(AND(G39&gt;=125,H39&gt;=7),"YES","NO")</f>
        <v>NO</v>
      </c>
      <c r="T39" s="20" t="str">
        <f t="shared" si="6"/>
        <v>YES</v>
      </c>
      <c r="U39" s="20" t="str">
        <f t="shared" si="7"/>
        <v>A++</v>
      </c>
    </row>
    <row r="40" spans="1:21">
      <c r="A40" s="28">
        <v>2</v>
      </c>
      <c r="B40" s="28" t="s">
        <v>26</v>
      </c>
      <c r="C40" s="28" t="s">
        <v>23</v>
      </c>
      <c r="D40" s="28">
        <v>41</v>
      </c>
      <c r="E40" s="28" t="s">
        <v>27</v>
      </c>
      <c r="F40" s="31" t="s">
        <v>28</v>
      </c>
      <c r="G40" s="28">
        <v>111</v>
      </c>
      <c r="H40" s="28">
        <v>10</v>
      </c>
      <c r="I40" s="32">
        <v>160000</v>
      </c>
      <c r="J40" s="32">
        <v>50000</v>
      </c>
      <c r="K40" s="32">
        <v>58000</v>
      </c>
      <c r="L40" s="32">
        <v>67000</v>
      </c>
      <c r="M40" s="33">
        <f t="shared" si="0"/>
        <v>175000</v>
      </c>
      <c r="N40" s="16">
        <f t="shared" si="1"/>
        <v>67000</v>
      </c>
      <c r="O40" s="16">
        <f t="shared" si="2"/>
        <v>50000</v>
      </c>
      <c r="P40" s="17">
        <f t="shared" si="3"/>
        <v>87500</v>
      </c>
      <c r="Q40" s="18">
        <f t="shared" si="4"/>
        <v>1.09375</v>
      </c>
      <c r="R40" s="20" t="str">
        <f t="shared" si="8"/>
        <v>achieved</v>
      </c>
      <c r="S40" s="27" t="str">
        <f>IF(AND(G39&gt;=125,H39&gt;=8),"YES","NO")</f>
        <v>NO</v>
      </c>
      <c r="T40" s="20" t="str">
        <f t="shared" si="6"/>
        <v>YES</v>
      </c>
      <c r="U40" s="20" t="str">
        <f t="shared" si="7"/>
        <v>A++</v>
      </c>
    </row>
    <row r="41" spans="1:21">
      <c r="N41" s="30"/>
      <c r="O41" s="30"/>
      <c r="P41" s="30"/>
      <c r="Q41" s="30"/>
      <c r="R41" s="30"/>
      <c r="S41" s="30"/>
      <c r="T41" s="30"/>
      <c r="U41" s="30"/>
    </row>
    <row r="42" spans="1:21">
      <c r="O42" s="5">
        <f>MIN(J42:L42)</f>
        <v>0</v>
      </c>
      <c r="P42" s="9">
        <f>M42/2</f>
        <v>0</v>
      </c>
      <c r="Q42" s="10" t="e">
        <f>M42/I42</f>
        <v>#DIV/0!</v>
      </c>
      <c r="R42" s="20" t="str">
        <f>IF(M42&gt;=75000,"Target Achieved","Achieved")</f>
        <v>Achieved</v>
      </c>
      <c r="S42" s="27" t="str">
        <f>IF(AND(G41&gt;=125,H41&gt;=8),"YES","NO")</f>
        <v>NO</v>
      </c>
      <c r="T42" s="20" t="str">
        <f>IF(OR(R42="achieved",H42&gt;=9),"YES","NO")</f>
        <v>YES</v>
      </c>
      <c r="U42" s="20" t="str">
        <f>IF(Q41&gt;=90%,"A++",IF(Q41&gt;=85%,"A+",IF(Q41&gt;=75%,"A","B")))</f>
        <v>B</v>
      </c>
    </row>
    <row r="43" spans="1:21">
      <c r="O43" s="5">
        <f>MIN(J43:L43)</f>
        <v>0</v>
      </c>
      <c r="P43" s="9">
        <f>M43/2</f>
        <v>0</v>
      </c>
      <c r="Q43" s="10" t="e">
        <f>M43/I43</f>
        <v>#DIV/0!</v>
      </c>
      <c r="R43" s="20" t="str">
        <f>IF(M43&gt;=75000,"Target Achieved","Achieved")</f>
        <v>Achieved</v>
      </c>
      <c r="S43" s="27" t="str">
        <f>IF(AND(G43&gt;=125,H43&gt;=7),"YES","NO")</f>
        <v>NO</v>
      </c>
      <c r="T43" s="20" t="str">
        <f>IF(OR(R43="achieved",H43&gt;=9),"YES","NO")</f>
        <v>YES</v>
      </c>
      <c r="U43" s="20" t="e">
        <f>IF(Q42&gt;=90%,"A++",IF(Q42&gt;=85%,"A+",IF(Q42&gt;=75%,"A","B")))</f>
        <v>#DIV/0!</v>
      </c>
    </row>
    <row r="44" spans="1:21">
      <c r="O44" s="36">
        <f>MIN(J44:L44)</f>
        <v>0</v>
      </c>
      <c r="P44" s="37">
        <f>M44/2</f>
        <v>0</v>
      </c>
      <c r="Q44" s="38" t="e">
        <f>M44/I44</f>
        <v>#DIV/0!</v>
      </c>
      <c r="R44" s="39" t="str">
        <f>IF(M44&gt;=75000,"Target Achieved","Achieved")</f>
        <v>Achieved</v>
      </c>
      <c r="S44" s="40" t="str">
        <f>IF(AND(G43&gt;=125,H43&gt;=8),"YES","NO")</f>
        <v>NO</v>
      </c>
      <c r="T44" s="39" t="str">
        <f>IF(OR(R44="achieved",H44&gt;=9),"YES","NO")</f>
        <v>YES</v>
      </c>
      <c r="U44" s="20" t="e">
        <f>IF(Q43&gt;=90%,"A++",IF(Q43&gt;=85%,"A+",IF(Q43&gt;=75%,"A","B")))</f>
        <v>#DIV/0!</v>
      </c>
    </row>
  </sheetData>
  <sortState ref="A2:U45">
    <sortCondition descending="1" ref="A1"/>
  </sortState>
  <conditionalFormatting sqref="M2:M6">
    <cfRule type="expression" dxfId="1" priority="1">
      <formula>$M10=213000</formula>
    </cfRule>
    <cfRule type="expression" dxfId="0" priority="2">
      <formula>$M2&gt;=2100000</formula>
    </cfRule>
    <cfRule type="colorScale" priority="3">
      <colorScale>
        <cfvo type="min" val="0"/>
        <cfvo type="max" val="0"/>
        <color rgb="FFFF7128"/>
        <color rgb="FFFFEF9C"/>
      </colorScale>
    </cfRule>
  </conditionalFormatting>
  <dataValidations count="2">
    <dataValidation type="list" allowBlank="1" showInputMessage="1" showErrorMessage="1" sqref="E1:E41">
      <formula1>"Delhi,Lucknow,Mumbai"</formula1>
    </dataValidation>
    <dataValidation type="textLength" allowBlank="1" showInputMessage="1" showErrorMessage="1" sqref="F1:F39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Instructions</vt:lpstr>
      <vt:lpstr>Report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 COMPUTER</cp:lastModifiedBy>
  <dcterms:created xsi:type="dcterms:W3CDTF">2026-10-05T11:28:41Z</dcterms:created>
  <dcterms:modified xsi:type="dcterms:W3CDTF">2026-10-06T10:10:51Z</dcterms:modified>
</cp:coreProperties>
</file>